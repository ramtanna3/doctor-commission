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810"/>
  <workbookPr/>
  <mc:AlternateContent xmlns:mc="http://schemas.openxmlformats.org/markup-compatibility/2006">
    <mc:Choice Requires="x15">
      <x15ac:absPath xmlns:x15ac="http://schemas.microsoft.com/office/spreadsheetml/2010/11/ac" url="/Users/ramtanna/Downloads/files/"/>
    </mc:Choice>
  </mc:AlternateContent>
  <bookViews>
    <workbookView xWindow="400" yWindow="500" windowWidth="28800" windowHeight="16460"/>
  </bookViews>
  <sheets>
    <sheet name="Pharmario Main " sheetId="1" r:id="rId1"/>
    <sheet name="Pivot" sheetId="2" r:id="rId2"/>
    <sheet name="CRM calc" sheetId="4" r:id="rId3"/>
  </sheets>
  <definedNames>
    <definedName name="_xlnm._FilterDatabase" localSheetId="0" hidden="1">'Pharmario Main '!$A$1:$S$416</definedName>
  </definedNames>
  <calcPr calcId="150001" concurrentCalc="0"/>
  <pivotCaches>
    <pivotCache cacheId="8" r:id="rId4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9" i="1" l="1"/>
  <c r="M308" i="1"/>
  <c r="M307" i="1"/>
  <c r="M306" i="1"/>
  <c r="M305" i="1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1" i="4"/>
  <c r="H40" i="4"/>
  <c r="H39" i="4"/>
  <c r="H42" i="4"/>
  <c r="H38" i="4"/>
  <c r="H37" i="4"/>
  <c r="B17" i="4"/>
  <c r="H57" i="4"/>
  <c r="H36" i="4"/>
  <c r="K43" i="2"/>
  <c r="M41" i="2"/>
  <c r="M39" i="2"/>
  <c r="M37" i="2"/>
  <c r="F63" i="4"/>
  <c r="E63" i="4"/>
  <c r="Q258" i="1"/>
  <c r="Q255" i="1"/>
  <c r="M329" i="1"/>
  <c r="M295" i="1"/>
  <c r="M294" i="1"/>
  <c r="M293" i="1"/>
  <c r="M279" i="1"/>
  <c r="M263" i="1"/>
  <c r="M262" i="1"/>
  <c r="M261" i="1"/>
  <c r="M260" i="1"/>
  <c r="M253" i="1"/>
  <c r="M252" i="1"/>
  <c r="M251" i="1"/>
  <c r="M250" i="1"/>
  <c r="M249" i="1"/>
  <c r="M241" i="1"/>
  <c r="M268" i="1"/>
  <c r="M244" i="1"/>
  <c r="M402" i="1"/>
  <c r="M257" i="1"/>
  <c r="M398" i="1"/>
  <c r="M337" i="1"/>
  <c r="M256" i="1"/>
  <c r="M336" i="1"/>
  <c r="M416" i="1"/>
  <c r="M331" i="1"/>
  <c r="M328" i="1"/>
  <c r="M267" i="1"/>
  <c r="M259" i="1"/>
  <c r="M347" i="1"/>
  <c r="M330" i="1"/>
  <c r="M325" i="1"/>
  <c r="M302" i="1"/>
  <c r="M278" i="1"/>
  <c r="M271" i="1"/>
  <c r="M248" i="1"/>
  <c r="M247" i="1"/>
  <c r="M243" i="1"/>
  <c r="M346" i="1"/>
  <c r="M324" i="1"/>
  <c r="M323" i="1"/>
  <c r="M322" i="1"/>
  <c r="M321" i="1"/>
  <c r="M320" i="1"/>
  <c r="M319" i="1"/>
  <c r="M312" i="1"/>
  <c r="M301" i="1"/>
  <c r="M300" i="1"/>
  <c r="M277" i="1"/>
  <c r="M401" i="1"/>
  <c r="M318" i="1"/>
  <c r="M317" i="1"/>
  <c r="M255" i="1"/>
  <c r="M254" i="1"/>
  <c r="M311" i="1"/>
  <c r="M299" i="1"/>
  <c r="M298" i="1"/>
  <c r="M276" i="1"/>
  <c r="M275" i="1"/>
  <c r="M335" i="1"/>
  <c r="M282" i="1"/>
  <c r="M273" i="1"/>
  <c r="M266" i="1"/>
  <c r="M258" i="1"/>
  <c r="M265" i="1"/>
  <c r="M345" i="1"/>
  <c r="M334" i="1"/>
  <c r="M400" i="1"/>
  <c r="M280" i="1"/>
  <c r="M274" i="1"/>
  <c r="M242" i="1"/>
  <c r="M351" i="1"/>
  <c r="M304" i="1"/>
  <c r="M246" i="1"/>
  <c r="M399" i="1"/>
  <c r="M344" i="1"/>
  <c r="M310" i="1"/>
  <c r="M297" i="1"/>
  <c r="M296" i="1"/>
  <c r="M397" i="1"/>
  <c r="M363" i="1"/>
  <c r="M362" i="1"/>
  <c r="M350" i="1"/>
  <c r="M343" i="1"/>
  <c r="M338" i="1"/>
  <c r="M313" i="1"/>
  <c r="M281" i="1"/>
  <c r="M272" i="1"/>
  <c r="M264" i="1"/>
  <c r="M349" i="1"/>
  <c r="M245" i="1"/>
  <c r="M342" i="1"/>
  <c r="M341" i="1"/>
  <c r="M303" i="1"/>
  <c r="M333" i="1"/>
  <c r="M327" i="1"/>
  <c r="M316" i="1"/>
  <c r="M315" i="1"/>
  <c r="M314" i="1"/>
  <c r="M332" i="1"/>
  <c r="M326" i="1"/>
  <c r="F30" i="4"/>
  <c r="E30" i="4"/>
  <c r="H29" i="4"/>
  <c r="H28" i="4"/>
  <c r="H27" i="4"/>
  <c r="H26" i="4"/>
  <c r="H25" i="4"/>
  <c r="M240" i="1"/>
  <c r="M239" i="1"/>
  <c r="M238" i="1"/>
  <c r="M237" i="1"/>
  <c r="M236" i="1"/>
  <c r="M235" i="1"/>
  <c r="M234" i="1"/>
  <c r="M233" i="1"/>
  <c r="M232" i="1"/>
  <c r="M231" i="1"/>
  <c r="M213" i="1"/>
  <c r="M212" i="1"/>
  <c r="M211" i="1"/>
  <c r="M210" i="1"/>
  <c r="M209" i="1"/>
  <c r="M208" i="1"/>
  <c r="M189" i="1"/>
  <c r="M188" i="1"/>
  <c r="M187" i="1"/>
  <c r="M186" i="1"/>
  <c r="M185" i="1"/>
  <c r="M184" i="1"/>
  <c r="M183" i="1"/>
  <c r="M182" i="1"/>
  <c r="M181" i="1"/>
  <c r="B7" i="4"/>
  <c r="H24" i="4"/>
  <c r="H23" i="4"/>
  <c r="H22" i="4"/>
  <c r="H21" i="4"/>
  <c r="H20" i="4"/>
  <c r="H19" i="4"/>
  <c r="H18" i="4"/>
  <c r="H17" i="4"/>
  <c r="M226" i="1"/>
  <c r="M222" i="1"/>
  <c r="M174" i="1"/>
  <c r="M172" i="1"/>
  <c r="M180" i="1"/>
  <c r="M179" i="1"/>
  <c r="M173" i="1"/>
  <c r="M171" i="1"/>
  <c r="M230" i="1"/>
  <c r="M225" i="1"/>
  <c r="M221" i="1"/>
  <c r="M220" i="1"/>
  <c r="M219" i="1"/>
  <c r="M207" i="1"/>
  <c r="M206" i="1"/>
  <c r="M205" i="1"/>
  <c r="M204" i="1"/>
  <c r="M203" i="1"/>
  <c r="M202" i="1"/>
  <c r="M201" i="1"/>
  <c r="M229" i="1"/>
  <c r="M224" i="1"/>
  <c r="M175" i="1"/>
  <c r="M200" i="1"/>
  <c r="M197" i="1"/>
  <c r="M223" i="1"/>
  <c r="M196" i="1"/>
  <c r="M191" i="1"/>
  <c r="M228" i="1"/>
  <c r="M227" i="1"/>
  <c r="M199" i="1"/>
  <c r="M198" i="1"/>
  <c r="M190" i="1"/>
  <c r="M178" i="1"/>
  <c r="M218" i="1"/>
  <c r="M217" i="1"/>
  <c r="M216" i="1"/>
  <c r="M215" i="1"/>
  <c r="M214" i="1"/>
  <c r="M170" i="1"/>
  <c r="M143" i="1"/>
  <c r="M142" i="1"/>
  <c r="M169" i="1"/>
  <c r="M168" i="1"/>
  <c r="M167" i="1"/>
  <c r="M166" i="1"/>
  <c r="K10" i="4"/>
  <c r="G12" i="4"/>
  <c r="G11" i="4"/>
  <c r="G10" i="4"/>
  <c r="G9" i="4"/>
  <c r="G8" i="4"/>
  <c r="G7" i="4"/>
  <c r="G6" i="4"/>
  <c r="G5" i="4"/>
  <c r="F13" i="4"/>
  <c r="G4" i="4"/>
  <c r="M91" i="1"/>
  <c r="M90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5" i="1"/>
  <c r="M94" i="1"/>
  <c r="M92" i="1"/>
  <c r="R121" i="1"/>
  <c r="R120" i="1"/>
  <c r="M93" i="1"/>
  <c r="M89" i="1"/>
  <c r="O88" i="1"/>
  <c r="P88" i="1"/>
  <c r="R88" i="1"/>
  <c r="S88" i="1"/>
  <c r="O87" i="1"/>
  <c r="P87" i="1"/>
  <c r="R87" i="1"/>
  <c r="S87" i="1"/>
  <c r="O86" i="1"/>
  <c r="P86" i="1"/>
  <c r="R86" i="1"/>
  <c r="S86" i="1"/>
  <c r="O85" i="1"/>
  <c r="P85" i="1"/>
  <c r="R85" i="1"/>
  <c r="S85" i="1"/>
  <c r="O84" i="1"/>
  <c r="P84" i="1"/>
  <c r="R84" i="1"/>
  <c r="S84" i="1"/>
  <c r="O83" i="1"/>
  <c r="P83" i="1"/>
  <c r="R83" i="1"/>
  <c r="S83" i="1"/>
  <c r="O82" i="1"/>
  <c r="P82" i="1"/>
  <c r="R82" i="1"/>
  <c r="S82" i="1"/>
  <c r="O81" i="1"/>
  <c r="P81" i="1"/>
  <c r="R81" i="1"/>
  <c r="S81" i="1"/>
  <c r="O80" i="1"/>
  <c r="P80" i="1"/>
  <c r="R80" i="1"/>
  <c r="S80" i="1"/>
  <c r="O79" i="1"/>
  <c r="P79" i="1"/>
  <c r="R79" i="1"/>
  <c r="S79" i="1"/>
  <c r="O78" i="1"/>
  <c r="P78" i="1"/>
  <c r="R78" i="1"/>
  <c r="S78" i="1"/>
  <c r="O77" i="1"/>
  <c r="P77" i="1"/>
  <c r="R77" i="1"/>
  <c r="S77" i="1"/>
  <c r="O76" i="1"/>
  <c r="P76" i="1"/>
  <c r="R76" i="1"/>
  <c r="S76" i="1"/>
  <c r="O75" i="1"/>
  <c r="P75" i="1"/>
  <c r="R75" i="1"/>
  <c r="S75" i="1"/>
  <c r="O74" i="1"/>
  <c r="P74" i="1"/>
  <c r="R74" i="1"/>
  <c r="S74" i="1"/>
  <c r="O73" i="1"/>
  <c r="P73" i="1"/>
  <c r="R73" i="1"/>
  <c r="S73" i="1"/>
  <c r="O72" i="1"/>
  <c r="P72" i="1"/>
  <c r="R72" i="1"/>
  <c r="S72" i="1"/>
  <c r="O71" i="1"/>
  <c r="P71" i="1"/>
  <c r="R71" i="1"/>
  <c r="S71" i="1"/>
  <c r="O70" i="1"/>
  <c r="P70" i="1"/>
  <c r="R70" i="1"/>
  <c r="S70" i="1"/>
  <c r="I88" i="1"/>
  <c r="M88" i="1"/>
  <c r="I87" i="1"/>
  <c r="M87" i="1"/>
  <c r="I86" i="1"/>
  <c r="M86" i="1"/>
  <c r="I85" i="1"/>
  <c r="I84" i="1"/>
  <c r="I83" i="1"/>
  <c r="I82" i="1"/>
  <c r="I81" i="1"/>
  <c r="I80" i="1"/>
  <c r="I79" i="1"/>
  <c r="I78" i="1"/>
  <c r="I77" i="1"/>
  <c r="I76" i="1"/>
  <c r="I75" i="1"/>
  <c r="M75" i="1"/>
  <c r="I74" i="1"/>
  <c r="M74" i="1"/>
  <c r="I73" i="1"/>
  <c r="I72" i="1"/>
  <c r="I71" i="1"/>
  <c r="M71" i="1"/>
  <c r="I70" i="1"/>
  <c r="M70" i="1"/>
  <c r="O69" i="1"/>
  <c r="P69" i="1"/>
  <c r="R69" i="1"/>
  <c r="S69" i="1"/>
  <c r="O68" i="1"/>
  <c r="O67" i="1"/>
  <c r="O66" i="1"/>
  <c r="P66" i="1"/>
  <c r="O65" i="1"/>
  <c r="O64" i="1"/>
  <c r="O63" i="1"/>
  <c r="O62" i="1"/>
  <c r="P62" i="1"/>
  <c r="O61" i="1"/>
  <c r="P61" i="1"/>
  <c r="O60" i="1"/>
  <c r="O59" i="1"/>
  <c r="O58" i="1"/>
  <c r="O57" i="1"/>
  <c r="P57" i="1"/>
  <c r="O56" i="1"/>
  <c r="P56" i="1"/>
  <c r="O55" i="1"/>
  <c r="O54" i="1"/>
  <c r="P54" i="1"/>
  <c r="O53" i="1"/>
  <c r="P53" i="1"/>
  <c r="O52" i="1"/>
  <c r="O51" i="1"/>
  <c r="O50" i="1"/>
  <c r="O49" i="1"/>
  <c r="O48" i="1"/>
  <c r="O47" i="1"/>
  <c r="O46" i="1"/>
  <c r="P46" i="1"/>
  <c r="O45" i="1"/>
  <c r="P45" i="1"/>
  <c r="O44" i="1"/>
  <c r="O43" i="1"/>
  <c r="O42" i="1"/>
  <c r="O41" i="1"/>
  <c r="P41" i="1"/>
  <c r="O40" i="1"/>
  <c r="P40" i="1"/>
  <c r="O39" i="1"/>
  <c r="O38" i="1"/>
  <c r="P38" i="1"/>
  <c r="O37" i="1"/>
  <c r="P37" i="1"/>
  <c r="O36" i="1"/>
  <c r="O35" i="1"/>
  <c r="O34" i="1"/>
  <c r="O33" i="1"/>
  <c r="O32" i="1"/>
  <c r="O31" i="1"/>
  <c r="O30" i="1"/>
  <c r="P30" i="1"/>
  <c r="O29" i="1"/>
  <c r="O28" i="1"/>
  <c r="O27" i="1"/>
  <c r="O26" i="1"/>
  <c r="O25" i="1"/>
  <c r="P25" i="1"/>
  <c r="O24" i="1"/>
  <c r="O23" i="1"/>
  <c r="O22" i="1"/>
  <c r="P22" i="1"/>
  <c r="O21" i="1"/>
  <c r="P21" i="1"/>
  <c r="O20" i="1"/>
  <c r="O19" i="1"/>
  <c r="P19" i="1"/>
  <c r="R19" i="1"/>
  <c r="O18" i="1"/>
  <c r="P18" i="1"/>
  <c r="R18" i="1"/>
  <c r="O17" i="1"/>
  <c r="P17" i="1"/>
  <c r="R17" i="1"/>
  <c r="O16" i="1"/>
  <c r="P16" i="1"/>
  <c r="R16" i="1"/>
  <c r="O15" i="1"/>
  <c r="P15" i="1"/>
  <c r="R15" i="1"/>
  <c r="O14" i="1"/>
  <c r="P14" i="1"/>
  <c r="R14" i="1"/>
  <c r="O13" i="1"/>
  <c r="P13" i="1"/>
  <c r="R13" i="1"/>
  <c r="S13" i="1"/>
  <c r="O12" i="1"/>
  <c r="P12" i="1"/>
  <c r="R12" i="1"/>
  <c r="O11" i="1"/>
  <c r="P11" i="1"/>
  <c r="R11" i="1"/>
  <c r="O10" i="1"/>
  <c r="P10" i="1"/>
  <c r="R10" i="1"/>
  <c r="O9" i="1"/>
  <c r="P9" i="1"/>
  <c r="R9" i="1"/>
  <c r="S9" i="1"/>
  <c r="O8" i="1"/>
  <c r="P8" i="1"/>
  <c r="R8" i="1"/>
  <c r="O7" i="1"/>
  <c r="P7" i="1"/>
  <c r="R7" i="1"/>
  <c r="O6" i="1"/>
  <c r="P6" i="1"/>
  <c r="R6" i="1"/>
  <c r="O5" i="1"/>
  <c r="P5" i="1"/>
  <c r="O4" i="1"/>
  <c r="O3" i="1"/>
  <c r="O2" i="1"/>
  <c r="P2" i="1"/>
  <c r="P23" i="1"/>
  <c r="R23" i="1"/>
  <c r="S23" i="1"/>
  <c r="P39" i="1"/>
  <c r="R39" i="1"/>
  <c r="S39" i="1"/>
  <c r="P55" i="1"/>
  <c r="R55" i="1"/>
  <c r="S55" i="1"/>
  <c r="P63" i="1"/>
  <c r="R63" i="1"/>
  <c r="S63" i="1"/>
  <c r="P48" i="1"/>
  <c r="R48" i="1"/>
  <c r="S48" i="1"/>
  <c r="P33" i="1"/>
  <c r="R33" i="1"/>
  <c r="S33" i="1"/>
  <c r="P49" i="1"/>
  <c r="R49" i="1"/>
  <c r="S49" i="1"/>
  <c r="P26" i="1"/>
  <c r="R26" i="1"/>
  <c r="S26" i="1"/>
  <c r="P34" i="1"/>
  <c r="R34" i="1"/>
  <c r="S34" i="1"/>
  <c r="P42" i="1"/>
  <c r="R42" i="1"/>
  <c r="S42" i="1"/>
  <c r="P50" i="1"/>
  <c r="R50" i="1"/>
  <c r="S50" i="1"/>
  <c r="P58" i="1"/>
  <c r="R58" i="1"/>
  <c r="S58" i="1"/>
  <c r="P29" i="1"/>
  <c r="R29" i="1"/>
  <c r="S29" i="1"/>
  <c r="P47" i="1"/>
  <c r="R47" i="1"/>
  <c r="S47" i="1"/>
  <c r="P32" i="1"/>
  <c r="R32" i="1"/>
  <c r="S32" i="1"/>
  <c r="P64" i="1"/>
  <c r="R64" i="1"/>
  <c r="S64" i="1"/>
  <c r="P65" i="1"/>
  <c r="R65" i="1"/>
  <c r="S65" i="1"/>
  <c r="P3" i="1"/>
  <c r="R3" i="1"/>
  <c r="S3" i="1"/>
  <c r="P27" i="1"/>
  <c r="R27" i="1"/>
  <c r="S27" i="1"/>
  <c r="P35" i="1"/>
  <c r="R35" i="1"/>
  <c r="S35" i="1"/>
  <c r="P43" i="1"/>
  <c r="R43" i="1"/>
  <c r="S43" i="1"/>
  <c r="P51" i="1"/>
  <c r="R51" i="1"/>
  <c r="S51" i="1"/>
  <c r="P59" i="1"/>
  <c r="R59" i="1"/>
  <c r="S59" i="1"/>
  <c r="P67" i="1"/>
  <c r="R67" i="1"/>
  <c r="S67" i="1"/>
  <c r="P31" i="1"/>
  <c r="R31" i="1"/>
  <c r="S31" i="1"/>
  <c r="P24" i="1"/>
  <c r="R24" i="1"/>
  <c r="S24" i="1"/>
  <c r="P4" i="1"/>
  <c r="R4" i="1"/>
  <c r="S4" i="1"/>
  <c r="P20" i="1"/>
  <c r="R20" i="1"/>
  <c r="S20" i="1"/>
  <c r="P28" i="1"/>
  <c r="R28" i="1"/>
  <c r="S28" i="1"/>
  <c r="P36" i="1"/>
  <c r="R36" i="1"/>
  <c r="S36" i="1"/>
  <c r="P44" i="1"/>
  <c r="R44" i="1"/>
  <c r="S44" i="1"/>
  <c r="P52" i="1"/>
  <c r="R52" i="1"/>
  <c r="S52" i="1"/>
  <c r="P60" i="1"/>
  <c r="R60" i="1"/>
  <c r="S60" i="1"/>
  <c r="P68" i="1"/>
  <c r="R68" i="1"/>
  <c r="S68" i="1"/>
  <c r="R40" i="1"/>
  <c r="S40" i="1"/>
  <c r="R56" i="1"/>
  <c r="S56" i="1"/>
  <c r="R25" i="1"/>
  <c r="S25" i="1"/>
  <c r="R41" i="1"/>
  <c r="S41" i="1"/>
  <c r="R57" i="1"/>
  <c r="S57" i="1"/>
  <c r="R66" i="1"/>
  <c r="S66" i="1"/>
  <c r="R5" i="1"/>
  <c r="S5" i="1"/>
  <c r="R21" i="1"/>
  <c r="S21" i="1"/>
  <c r="R37" i="1"/>
  <c r="S37" i="1"/>
  <c r="R45" i="1"/>
  <c r="S45" i="1"/>
  <c r="R53" i="1"/>
  <c r="S53" i="1"/>
  <c r="R61" i="1"/>
  <c r="S61" i="1"/>
  <c r="R22" i="1"/>
  <c r="S22" i="1"/>
  <c r="R30" i="1"/>
  <c r="S30" i="1"/>
  <c r="R38" i="1"/>
  <c r="S38" i="1"/>
  <c r="R46" i="1"/>
  <c r="S46" i="1"/>
  <c r="R54" i="1"/>
  <c r="S54" i="1"/>
  <c r="R62" i="1"/>
  <c r="S62" i="1"/>
  <c r="S6" i="1"/>
  <c r="S14" i="1"/>
  <c r="S17" i="1"/>
  <c r="R2" i="1"/>
  <c r="S2" i="1"/>
  <c r="S8" i="1"/>
  <c r="S16" i="1"/>
  <c r="S10" i="1"/>
  <c r="S18" i="1"/>
  <c r="S11" i="1"/>
  <c r="S19" i="1"/>
  <c r="S12" i="1"/>
  <c r="S7" i="1"/>
  <c r="S15" i="1"/>
  <c r="M20" i="1"/>
  <c r="M25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4" i="1"/>
  <c r="M33" i="1"/>
  <c r="M32" i="1"/>
  <c r="M31" i="1"/>
  <c r="M30" i="1"/>
  <c r="M29" i="1"/>
  <c r="M28" i="1"/>
  <c r="M27" i="1"/>
  <c r="M26" i="1"/>
  <c r="M24" i="1"/>
  <c r="M23" i="1"/>
  <c r="M22" i="1"/>
  <c r="M21" i="1"/>
  <c r="M5" i="1"/>
  <c r="M4" i="1"/>
  <c r="M3" i="1"/>
  <c r="E13" i="4"/>
</calcChain>
</file>

<file path=xl/sharedStrings.xml><?xml version="1.0" encoding="utf-8"?>
<sst xmlns="http://schemas.openxmlformats.org/spreadsheetml/2006/main" count="1841" uniqueCount="253">
  <si>
    <t>Product Name</t>
  </si>
  <si>
    <t>Amount</t>
  </si>
  <si>
    <t>NURAPAN IV INJ</t>
  </si>
  <si>
    <t>NUROFER XT</t>
  </si>
  <si>
    <t>AZEEMYCIN 250MG</t>
  </si>
  <si>
    <t>AZEEMYCIN 500MG</t>
  </si>
  <si>
    <t>CLOBETIX CREAM</t>
  </si>
  <si>
    <t>NEUROPAINWIN TAB</t>
  </si>
  <si>
    <t>NURAMONT LC TAB</t>
  </si>
  <si>
    <t>NURAPAN 40 TAB</t>
  </si>
  <si>
    <t>NUREXIME 200MG</t>
  </si>
  <si>
    <t>NUROFENAC P</t>
  </si>
  <si>
    <t>NUROFENAC SP TAB</t>
  </si>
  <si>
    <t>REBIFER DSR CAPS</t>
  </si>
  <si>
    <t>Date</t>
  </si>
  <si>
    <t xml:space="preserve">MEDICAL </t>
  </si>
  <si>
    <t>Month</t>
  </si>
  <si>
    <t>DR ANAND CHAVAN ATHARVA CLINIC</t>
  </si>
  <si>
    <t>MAULI MEDICAL &amp; GEN STORES</t>
  </si>
  <si>
    <t>S S PHARMA</t>
  </si>
  <si>
    <t>SMH PHARMACY</t>
  </si>
  <si>
    <t xml:space="preserve">150CCB </t>
  </si>
  <si>
    <t xml:space="preserve">120CCB </t>
  </si>
  <si>
    <t xml:space="preserve">94CCB </t>
  </si>
  <si>
    <t xml:space="preserve">67CCB </t>
  </si>
  <si>
    <t xml:space="preserve">163CCB </t>
  </si>
  <si>
    <t>Voucher no</t>
  </si>
  <si>
    <t xml:space="preserve">162CCB </t>
  </si>
  <si>
    <t xml:space="preserve">87CCB </t>
  </si>
  <si>
    <t xml:space="preserve">134CCB </t>
  </si>
  <si>
    <t xml:space="preserve">92CCB </t>
  </si>
  <si>
    <t>96CCB</t>
  </si>
  <si>
    <t xml:space="preserve">78CCB </t>
  </si>
  <si>
    <t xml:space="preserve">137CCB </t>
  </si>
  <si>
    <t xml:space="preserve">135CCB </t>
  </si>
  <si>
    <t xml:space="preserve">143CCB </t>
  </si>
  <si>
    <t xml:space="preserve">166CCB </t>
  </si>
  <si>
    <t>74CCB</t>
  </si>
  <si>
    <t>86CCB</t>
  </si>
  <si>
    <t>67CCB</t>
  </si>
  <si>
    <t>103CCB</t>
  </si>
  <si>
    <t>92CCB</t>
  </si>
  <si>
    <t>136CCB</t>
  </si>
  <si>
    <t>149CCB</t>
  </si>
  <si>
    <t>166CCB</t>
  </si>
  <si>
    <t>143CCB</t>
  </si>
  <si>
    <t>113CCB</t>
  </si>
  <si>
    <t>122CCB</t>
  </si>
  <si>
    <t>156CCB</t>
  </si>
  <si>
    <t>112CCB</t>
  </si>
  <si>
    <t>115CCB</t>
  </si>
  <si>
    <t>118CCB</t>
  </si>
  <si>
    <t>89CCB</t>
  </si>
  <si>
    <t>69CCB</t>
  </si>
  <si>
    <t>100CCB</t>
  </si>
  <si>
    <t>134CCB</t>
  </si>
  <si>
    <t>110CCB</t>
  </si>
  <si>
    <t>127CCB</t>
  </si>
  <si>
    <t>105CCB</t>
  </si>
  <si>
    <t>DR.SWAPNIL BIRAJDAR SIR</t>
  </si>
  <si>
    <t>NA</t>
  </si>
  <si>
    <t>MEDURA HOSPiTAL</t>
  </si>
  <si>
    <t xml:space="preserve">NEUROPAINWIN TAB  </t>
  </si>
  <si>
    <t xml:space="preserve">105CCB </t>
  </si>
  <si>
    <t xml:space="preserve">Qty   </t>
  </si>
  <si>
    <t>SCHEME</t>
  </si>
  <si>
    <t>PTR</t>
  </si>
  <si>
    <t>Commission</t>
  </si>
  <si>
    <t>137CCB</t>
  </si>
  <si>
    <t xml:space="preserve">172CCB </t>
  </si>
  <si>
    <t xml:space="preserve">160CCB </t>
  </si>
  <si>
    <t>Doctor</t>
  </si>
  <si>
    <t>Grand Total</t>
  </si>
  <si>
    <t xml:space="preserve">Sum of Qty   </t>
  </si>
  <si>
    <t>Sum of Commission</t>
  </si>
  <si>
    <t>Sum of Amount</t>
  </si>
  <si>
    <t>Values</t>
  </si>
  <si>
    <t>May-25</t>
  </si>
  <si>
    <t>Jun-25</t>
  </si>
  <si>
    <t>PTS</t>
  </si>
  <si>
    <t>Stock</t>
  </si>
  <si>
    <t>PTS Less10%</t>
  </si>
  <si>
    <t xml:space="preserve">CP </t>
  </si>
  <si>
    <t>Comm-CP</t>
  </si>
  <si>
    <t xml:space="preserve">Less Comm 30% </t>
  </si>
  <si>
    <t>(PTS-10%-30% comm-CP)*Qty</t>
  </si>
  <si>
    <t>DR PRASHANT BAMB CHINCHWAD GAON</t>
  </si>
  <si>
    <t>July-25</t>
  </si>
  <si>
    <t>NURAPAN D TAB</t>
  </si>
  <si>
    <t>PIPNOR T4.5MG</t>
  </si>
  <si>
    <t>Rate</t>
  </si>
  <si>
    <t>DR.BAIRAGI SIR</t>
  </si>
  <si>
    <t xml:space="preserve">OPTIMA MEDICO </t>
  </si>
  <si>
    <t xml:space="preserve">MED MART </t>
  </si>
  <si>
    <t>NURA CV 625</t>
  </si>
  <si>
    <t>ATUL MEDICAL &amp; GEN STORE GROUND FLR, SHOP NO.15,B.G</t>
  </si>
  <si>
    <t>JAY GANESH PHARMA SAMADHAN CHOWK PIMPRIGAON</t>
  </si>
  <si>
    <t>JIVANREKHA MEDICAL DEHUROAD PUNE</t>
  </si>
  <si>
    <t>NUROWIN TAB</t>
  </si>
  <si>
    <t>JYOTI MEDICAL &amp; GEN STORES PIRING MEDOWS, SHOP NO 4,WAKAD</t>
  </si>
  <si>
    <t>KIRAN MEDICARE SHOP NO 4,5 GR FL, BUCHADE PRO</t>
  </si>
  <si>
    <t>NURODOSIN D 8 TAB</t>
  </si>
  <si>
    <t>MAULI MEDICAL NIGDI SAINATH NAGAR SHOP NO 4</t>
  </si>
  <si>
    <t>NILESH MEDICAL &amp; GEN STORE SHOP NO 3.GROUND FLOOR SONKAR</t>
  </si>
  <si>
    <t>NIRMAL MEDICO SHOP NO.15, GROUND FLOOR,Z</t>
  </si>
  <si>
    <t>NUROCAL CAP</t>
  </si>
  <si>
    <t>Dr Kamini Wankhede</t>
  </si>
  <si>
    <t>NITIN MEDICAL STORE SHOP NO5 MARUNJI PUNE</t>
  </si>
  <si>
    <t>NOBEL MEDICAL DRUGGIST &amp; CHEMI SHOP NO - 1,2, MARUNJI</t>
  </si>
  <si>
    <t>RAJVEER MEDICAL. GUJAR NAGAR NEAR SHAR CLINIC</t>
  </si>
  <si>
    <t>SAI DATTA MEDICAL SHOP NO.01, GR FLR. SURVEY</t>
  </si>
  <si>
    <t>SHREE MEDICAL &amp; GENERAL STORES SHOP NO.3 TELANG HEIGHT,PRADHI</t>
  </si>
  <si>
    <t>SHREE SWAMI SAMARTH MED &amp; GEHI HINJWADI PUNE</t>
  </si>
  <si>
    <t>Dr Deepali Shibe</t>
  </si>
  <si>
    <t>SUNMED PHARMACY SHOP NO.5 SHREE GANESH TI</t>
  </si>
  <si>
    <t>NUROFER SYP 225ML</t>
  </si>
  <si>
    <t>TIRUPATI MEDICAL THERGOAN MANGAL NAGAR WAKAD RO</t>
  </si>
  <si>
    <t>Dr Vaishnavi Kuthe</t>
  </si>
  <si>
    <t>VARAD MEDICAL SHOP NO.1. NHAVAI ALI PIMPRI</t>
  </si>
  <si>
    <t>DR.MONIKA DAHIVELKAR</t>
  </si>
  <si>
    <t>Advance paid</t>
  </si>
  <si>
    <t>Less : July-25 activity</t>
  </si>
  <si>
    <t>Balance</t>
  </si>
  <si>
    <t>Pune July-25 activity</t>
  </si>
  <si>
    <t>Sales</t>
  </si>
  <si>
    <t>CRM</t>
  </si>
  <si>
    <t>DR.SONALI KULKARNI</t>
  </si>
  <si>
    <t>DR.AJINKYA PATANE</t>
  </si>
  <si>
    <t>DR.ASHPAK BANGI</t>
  </si>
  <si>
    <t>Dr.Divya Mam</t>
  </si>
  <si>
    <t>DR.ROHAN SHIROLE</t>
  </si>
  <si>
    <t>DR.MANISHA KHAIRNAR</t>
  </si>
  <si>
    <t>DR.KAMINI WANKHEDE</t>
  </si>
  <si>
    <t>TOTAL</t>
  </si>
  <si>
    <t>DR.VIJAY GADE</t>
  </si>
  <si>
    <t>DR.JANHVI KANORE</t>
  </si>
  <si>
    <t>DR.DEEPALI SHIBE</t>
  </si>
  <si>
    <t>DR.GARGI TRIPATHI</t>
  </si>
  <si>
    <t>DR.VAISHNAVI KUTHE</t>
  </si>
  <si>
    <t>Dr Pooja Puri</t>
  </si>
  <si>
    <t>DR.POOJA PURI</t>
  </si>
  <si>
    <t>DR.DIVYA MAM</t>
  </si>
  <si>
    <t>DR.SAMRUDHI MAM</t>
  </si>
  <si>
    <t>DR.SWAPNIL GOSAWI</t>
  </si>
  <si>
    <t>Less : Aug-25 activity</t>
  </si>
  <si>
    <t>NO CRM-July-25</t>
  </si>
  <si>
    <t>CITY MEDICO SHOP NO. 1, CITY HOSPITAL BLDG</t>
  </si>
  <si>
    <t>Aug-25</t>
  </si>
  <si>
    <t>DR SIDDHI CLINIC SHOP NO. 2, NEAR SHRI SAI FABR</t>
  </si>
  <si>
    <t>KARTIKI MEDICAL &amp; GEN STORES S . NO. 124, SHOP NO. 4, DHAVD</t>
  </si>
  <si>
    <t>MAULI MEDICAL SHOP NO.4, F C ROAD, MORYA</t>
  </si>
  <si>
    <t>NUROJTWIN TAB</t>
  </si>
  <si>
    <t>RUDRA MEDICAL, SHOP NO. 1, RUDRA HOSPITAL, KA</t>
  </si>
  <si>
    <t>CALKAL K2-7 SOFT GEL</t>
  </si>
  <si>
    <t>NUREXIME PLUS 500MG</t>
  </si>
  <si>
    <t>NURODOSIN D4 TAB</t>
  </si>
  <si>
    <t>S S PHARMA, AKURDI SHOP NO. 1. GROUND FLOOR,J</t>
  </si>
  <si>
    <t>DR MRUNALI PATIL</t>
  </si>
  <si>
    <t>DANSHREE MEDICAL SR NO.73 ADARSHANAGAR PATIL</t>
  </si>
  <si>
    <t>OPTIMA MEDICO WAKAD</t>
  </si>
  <si>
    <t>PANDURANG MEDICAL &amp; GRN STO SHOP NO,1 OPP VISHAL ANGAN ,</t>
  </si>
  <si>
    <t>PHARMA RIO SERVICES GODWON NO.1 FIRST FLOOR</t>
  </si>
  <si>
    <t>PRAKASH MEDICO SHIVAJI CHOWK HINJWADI</t>
  </si>
  <si>
    <t>RAJ MEDICAL &amp; GENERAL STORE SHOP NO.1 GR FLOOR GAJANAN</t>
  </si>
  <si>
    <t>SAINATH MEDICAL SHOP NO4,SR,NO.13/1A/2 &amp; 14/1,</t>
  </si>
  <si>
    <t>SHREE SIDDHI VINAYAK HOSPITAL HINJWADI PHASE1.DILIP SONIGARA</t>
  </si>
  <si>
    <t>SHREE SIDDHIVINAYAK  CLINIC HINJEWADI PHASE 1, NEAR DI</t>
  </si>
  <si>
    <t>TAPOVAN MEDICALSTORE SHOP NO 3, SR NO 244/1/1A</t>
  </si>
  <si>
    <t>VIGHNAHARTA MEDICAL DEU PUNE .SHIVNAGARI SOCIETY</t>
  </si>
  <si>
    <t>WELLNESS MEDICAL HINJAWADI MARUNJI SHOP NO 1</t>
  </si>
  <si>
    <t xml:space="preserve">SMH PHARMACY </t>
  </si>
  <si>
    <t>DR MAYURI ANDHALE MAM</t>
  </si>
  <si>
    <t>DR.MONICA DAHIVELKAR MAM</t>
  </si>
  <si>
    <t>DR JANHVI KANORE MAM</t>
  </si>
  <si>
    <t>DR SAMRUDDHI MAM</t>
  </si>
  <si>
    <t>DR GARGI TRIPATHI MAM</t>
  </si>
  <si>
    <t>SARTHAKI MEDICAL NEAR HINJEWADI GOWTHAN OPP</t>
  </si>
  <si>
    <t>DR.MRUNALI PATIL</t>
  </si>
  <si>
    <t>CRM Pune Aug-25 activity</t>
  </si>
  <si>
    <t>DR.MAYURI ANDHALE</t>
  </si>
  <si>
    <t xml:space="preserve">DR.SWAPNIl GOSAWI </t>
  </si>
  <si>
    <t xml:space="preserve">DR.MONIKA DAHIVELKAR </t>
  </si>
  <si>
    <t>Remarks</t>
  </si>
  <si>
    <t>CRM given in advance</t>
  </si>
  <si>
    <t>NURAPAN IV INJECTION</t>
  </si>
  <si>
    <t>DISPENSING (AGNST.INV DFG-0002)</t>
  </si>
  <si>
    <t>DISPENSING (AGNST.INV DFG-0004)</t>
  </si>
  <si>
    <t>ANMOL MEDICAL STORE DHIRAJ PARK,KESHAV NAGAR,</t>
  </si>
  <si>
    <t>ANUJA GHOM DR BHMS, PGDEMS PUNE</t>
  </si>
  <si>
    <t>VSONIL 100 ML SYP</t>
  </si>
  <si>
    <t>ANUSHREE MEDICAL SHOP NO.1, GR FLR, BUCHADE</t>
  </si>
  <si>
    <t>DHANSHREE MEDICO CHEMIST &amp;DRUG GIST  .MILKAT NO568, S. NO.142</t>
  </si>
  <si>
    <t>NURACONAZOLE 200 CAP</t>
  </si>
  <si>
    <t>GANESH MEDICAL &amp; GEN STORES NEAR MARUNJI HOSPITAL, MUL</t>
  </si>
  <si>
    <t>KAVYA MEDICAL RAHATANI  SHOP NO 5GR FLOOR CT</t>
  </si>
  <si>
    <t>LAXMI MED &amp; GEN STORES NEAR DHANWANTARI HOSPITAL,</t>
  </si>
  <si>
    <t>LAXMI MEDICAL STORE PIMPRI SHOP NO 1. GRD FLR NIL</t>
  </si>
  <si>
    <t>NUREXIM O  TAB</t>
  </si>
  <si>
    <t>OM GAGANGIRI MED &amp; GEN STORE PUNAWALE, TAL. MULSHI , DIS</t>
  </si>
  <si>
    <t>OM KARMYOGI MEDICAL CHEM&amp; DRUG PUNAWALE CHEMIST &amp; DRUGGIST</t>
  </si>
  <si>
    <t>OPTIMA MEDICO. PUNAWALE</t>
  </si>
  <si>
    <t>PENTAGON PHARMACY PENTAGON HOSPITAL , SHOP NO 1</t>
  </si>
  <si>
    <t>PRASHANT DR BAMB KESHAVNARAR CHICHWAD</t>
  </si>
  <si>
    <t>PRASHANT MEDICO SHOP NO.1.B WING GROUND FLOOR</t>
  </si>
  <si>
    <t>SAI CLINIC SAHIL PLAZA, S NO.273, BHATEW</t>
  </si>
  <si>
    <t>SHARAYU MED &amp; GEN STORES AT POST MARUNJI, TAL MULSH</t>
  </si>
  <si>
    <t>SHREE GAJANAN MEDICAL ROOM NO.2, 1ST FL, SN 5/4 NR</t>
  </si>
  <si>
    <t>SIDDHI CLINIC SHOP NO.2, NEAR SHRI SAI FABRI</t>
  </si>
  <si>
    <t>SMH PHARMACY RM NO.3,M.NO.259A1,1ST FL, SAN</t>
  </si>
  <si>
    <t>NUROJTWIN PLUS TAB</t>
  </si>
  <si>
    <t>Sep-25</t>
  </si>
  <si>
    <t>CHAITANYA MEDICAL &amp; GENERAL ST OPP PODDAR SCHOOL, CHINCHWAD G</t>
  </si>
  <si>
    <t>DR MRUNAL KALE YASHASHREE SANKALP BUILDING, P</t>
  </si>
  <si>
    <t>LIPOTECH TAB</t>
  </si>
  <si>
    <t>DR SWAPNIL GOSAVI SHIVAJI CHOWK, HINJEWADI PHASE</t>
  </si>
  <si>
    <t>MUPIRAX OINTMENT</t>
  </si>
  <si>
    <t>LAXMI MEDICAL, RAMWADI SURVEY NO.29, NGAR ROAD, R</t>
  </si>
  <si>
    <t>NEW CHAITANYA MEDICAL YASHOGANDHA APARTMENT,KESHAV N</t>
  </si>
  <si>
    <t>NEW KAMAL MEDICAL SHOP NO. 1, 1ST FLOOR, S NO 73</t>
  </si>
  <si>
    <t>PRADNYA MEDICAL &amp; GEN STORES S. NO. 87/1,  MIL NO. 1536, NE</t>
  </si>
  <si>
    <t>SADGURU MEDICAL SWAMI SAMARTHA COMPLEX, SADGUR</t>
  </si>
  <si>
    <t>SHREE SAMARTHA KRUPA HOSPITAL WAKAD, SSK HOSPITAL, SADAURJ,</t>
  </si>
  <si>
    <t>SHRI SWAMI SAMARTHA MEDICAL SADGURU NAGAR, BHOSARI, NEAR G</t>
  </si>
  <si>
    <t>SMH PHARMACY SANJEEVANI MULTISPECIALITY</t>
  </si>
  <si>
    <t>DR INGAWALE</t>
  </si>
  <si>
    <t>DR NILESH NANGARE</t>
  </si>
  <si>
    <t>DR WAGH</t>
  </si>
  <si>
    <t>DR SACHIN ZAWARE</t>
  </si>
  <si>
    <t>DR SANDEEP KHESE</t>
  </si>
  <si>
    <t>DR KANODE</t>
  </si>
  <si>
    <t xml:space="preserve">DR MRUNAL KALE </t>
  </si>
  <si>
    <t>DR.ANUJA GHOM</t>
  </si>
  <si>
    <t>DR.DESHMUKH</t>
  </si>
  <si>
    <t>DR.GIRISH GAIKWAD</t>
  </si>
  <si>
    <t>DR.SAYALI PATIL</t>
  </si>
  <si>
    <t>DR.CHAUDHARI</t>
  </si>
  <si>
    <t>DR.KIRAN JOSHI</t>
  </si>
  <si>
    <t>DR.ASHOK BAIRAGI</t>
  </si>
  <si>
    <t>DR.REVATI LATNE</t>
  </si>
  <si>
    <t>DR.ANUP LATNE</t>
  </si>
  <si>
    <t>DR.ATUL RODE</t>
  </si>
  <si>
    <t>DR.PRASHANT LAMB</t>
  </si>
  <si>
    <t>DR.ROHINI SHIROLE</t>
  </si>
  <si>
    <t>DR.AMITA BHATTAB</t>
  </si>
  <si>
    <t>DR.SIDDHI</t>
  </si>
  <si>
    <t>DR.SHAILENDRA TILEKAR</t>
  </si>
  <si>
    <t xml:space="preserve">DR.YASHODHAN </t>
  </si>
  <si>
    <t>DR.SHITAL NAGARGOJE</t>
  </si>
  <si>
    <t>CRM Pune Sep-25 activity</t>
  </si>
  <si>
    <t>Less : Sep-25 activity</t>
  </si>
  <si>
    <t>Balance to be paid</t>
  </si>
  <si>
    <t>CRM not to  be given</t>
  </si>
  <si>
    <t>SHREE GAJANAN MEDICAL ROOM NO.2, 1ST FL, SN 5/4 NR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</si>
</sst>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* #,##0.00_ ;_ * \-#,##0.00_ ;_ * &quot;-&quot;??_ ;_ @_ "/>
    <numFmt numFmtId="165" formatCode="_ * #,##0_ ;_ * \-#,##0_ ;_ * &quot;-&quot;??_ ;_ @_ "/>
    <numFmt numFmtId="166" formatCode="########0"/>
    <numFmt numFmtId="167" formatCode="########0.00"/>
    <numFmt numFmtId="168" formatCode="###,###,##0.0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</font>
    <font>
      <sz val="10"/>
      <name val="Draft 12cpi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Draft 12cp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4">
    <xf numFmtId="0" fontId="0" fillId="0" borderId="0"/>
    <xf numFmtId="164" fontId="4" fillId="0" borderId="0" applyFon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8" applyNumberFormat="0" applyAlignment="0" applyProtection="0"/>
    <xf numFmtId="0" fontId="13" fillId="7" borderId="9" applyNumberFormat="0" applyAlignment="0" applyProtection="0"/>
    <xf numFmtId="0" fontId="14" fillId="7" borderId="8" applyNumberFormat="0" applyAlignment="0" applyProtection="0"/>
    <xf numFmtId="0" fontId="15" fillId="0" borderId="10" applyNumberFormat="0" applyFill="0" applyAlignment="0" applyProtection="0"/>
    <xf numFmtId="0" fontId="16" fillId="8" borderId="11" applyNumberFormat="0" applyAlignment="0" applyProtection="0"/>
    <xf numFmtId="0" fontId="17" fillId="0" borderId="0" applyNumberFormat="0" applyFill="0" applyBorder="0" applyAlignment="0" applyProtection="0"/>
    <xf numFmtId="0" fontId="4" fillId="9" borderId="12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94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1" fontId="2" fillId="0" borderId="1" xfId="0" applyNumberFormat="1" applyFont="1" applyBorder="1"/>
    <xf numFmtId="0" fontId="0" fillId="0" borderId="1" xfId="0" applyBorder="1"/>
    <xf numFmtId="0" fontId="0" fillId="0" borderId="0" xfId="0" pivotButton="1"/>
    <xf numFmtId="1" fontId="0" fillId="0" borderId="0" xfId="0" applyNumberFormat="1"/>
    <xf numFmtId="49" fontId="0" fillId="0" borderId="0" xfId="0" applyNumberFormat="1"/>
    <xf numFmtId="49" fontId="3" fillId="0" borderId="1" xfId="0" applyNumberFormat="1" applyFont="1" applyBorder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0" fillId="0" borderId="2" xfId="0" applyBorder="1"/>
    <xf numFmtId="0" fontId="3" fillId="0" borderId="1" xfId="0" applyFont="1" applyBorder="1" applyAlignment="1">
      <alignment horizontal="center"/>
    </xf>
    <xf numFmtId="165" fontId="5" fillId="2" borderId="1" xfId="1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164" fontId="6" fillId="0" borderId="1" xfId="1" applyFont="1" applyBorder="1"/>
    <xf numFmtId="164" fontId="6" fillId="0" borderId="1" xfId="1" applyFont="1" applyBorder="1" applyAlignment="1">
      <alignment horizontal="center"/>
    </xf>
    <xf numFmtId="164" fontId="6" fillId="0" borderId="1" xfId="1" applyFont="1" applyBorder="1" applyAlignment="1">
      <alignment horizontal="center" vertical="center"/>
    </xf>
    <xf numFmtId="0" fontId="6" fillId="0" borderId="1" xfId="0" applyFont="1" applyBorder="1"/>
    <xf numFmtId="164" fontId="6" fillId="0" borderId="1" xfId="1" applyFont="1" applyFill="1" applyBorder="1"/>
    <xf numFmtId="164" fontId="6" fillId="0" borderId="1" xfId="0" applyNumberFormat="1" applyFont="1" applyBorder="1"/>
    <xf numFmtId="2" fontId="6" fillId="0" borderId="1" xfId="0" applyNumberFormat="1" applyFont="1" applyBorder="1"/>
    <xf numFmtId="167" fontId="24" fillId="0" borderId="1" xfId="35" applyNumberFormat="1" applyFont="1" applyBorder="1" applyAlignment="1">
      <alignment horizontal="right"/>
    </xf>
    <xf numFmtId="164" fontId="6" fillId="0" borderId="0" xfId="1" applyFont="1" applyBorder="1"/>
    <xf numFmtId="164" fontId="6" fillId="0" borderId="4" xfId="1" applyFont="1" applyBorder="1"/>
    <xf numFmtId="164" fontId="6" fillId="0" borderId="0" xfId="1" applyFont="1" applyBorder="1" applyAlignment="1">
      <alignment horizontal="center" vertical="center"/>
    </xf>
    <xf numFmtId="0" fontId="0" fillId="0" borderId="14" xfId="0" applyBorder="1"/>
    <xf numFmtId="0" fontId="1" fillId="34" borderId="1" xfId="0" applyFont="1" applyFill="1" applyBorder="1"/>
    <xf numFmtId="2" fontId="3" fillId="0" borderId="1" xfId="0" applyNumberFormat="1" applyFont="1" applyBorder="1"/>
    <xf numFmtId="166" fontId="24" fillId="0" borderId="0" xfId="0" applyNumberFormat="1" applyFont="1" applyAlignment="1">
      <alignment horizontal="right"/>
    </xf>
    <xf numFmtId="167" fontId="24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right"/>
    </xf>
    <xf numFmtId="0" fontId="25" fillId="0" borderId="0" xfId="0" applyFont="1"/>
    <xf numFmtId="0" fontId="5" fillId="35" borderId="1" xfId="0" applyFont="1" applyFill="1" applyBorder="1"/>
    <xf numFmtId="0" fontId="5" fillId="0" borderId="1" xfId="0" applyFont="1" applyBorder="1"/>
    <xf numFmtId="0" fontId="26" fillId="0" borderId="0" xfId="0" applyFont="1"/>
    <xf numFmtId="2" fontId="2" fillId="0" borderId="0" xfId="0" applyNumberFormat="1" applyFont="1"/>
    <xf numFmtId="2" fontId="1" fillId="34" borderId="1" xfId="0" applyNumberFormat="1" applyFont="1" applyFill="1" applyBorder="1"/>
    <xf numFmtId="0" fontId="0" fillId="0" borderId="3" xfId="0" applyBorder="1"/>
    <xf numFmtId="2" fontId="5" fillId="0" borderId="1" xfId="0" applyNumberFormat="1" applyFont="1" applyBorder="1"/>
    <xf numFmtId="17" fontId="0" fillId="0" borderId="0" xfId="0" applyNumberFormat="1"/>
    <xf numFmtId="166" fontId="24" fillId="0" borderId="1" xfId="0" applyNumberFormat="1" applyFont="1" applyBorder="1" applyAlignment="1">
      <alignment horizontal="right"/>
    </xf>
    <xf numFmtId="167" fontId="24" fillId="0" borderId="1" xfId="0" applyNumberFormat="1" applyFont="1" applyBorder="1" applyAlignment="1">
      <alignment horizontal="right"/>
    </xf>
    <xf numFmtId="0" fontId="26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/>
    <xf numFmtId="0" fontId="1" fillId="36" borderId="1" xfId="0" applyFont="1" applyFill="1" applyBorder="1"/>
    <xf numFmtId="14" fontId="0" fillId="36" borderId="1" xfId="0" applyNumberFormat="1" applyFill="1" applyBorder="1"/>
    <xf numFmtId="14" fontId="2" fillId="36" borderId="1" xfId="0" applyNumberFormat="1" applyFont="1" applyFill="1" applyBorder="1"/>
    <xf numFmtId="14" fontId="24" fillId="36" borderId="1" xfId="35" applyNumberFormat="1" applyFont="1" applyFill="1" applyBorder="1" applyAlignment="1">
      <alignment horizontal="left"/>
    </xf>
    <xf numFmtId="14" fontId="24" fillId="36" borderId="0" xfId="0" applyNumberFormat="1" applyFont="1" applyFill="1" applyAlignment="1">
      <alignment horizontal="left"/>
    </xf>
    <xf numFmtId="14" fontId="24" fillId="36" borderId="1" xfId="0" applyNumberFormat="1" applyFont="1" applyFill="1" applyBorder="1" applyAlignment="1">
      <alignment horizontal="left"/>
    </xf>
    <xf numFmtId="0" fontId="0" fillId="36" borderId="0" xfId="0" applyFill="1"/>
    <xf numFmtId="0" fontId="2" fillId="36" borderId="1" xfId="0" applyFont="1" applyFill="1" applyBorder="1"/>
    <xf numFmtId="0" fontId="24" fillId="36" borderId="1" xfId="35" applyFont="1" applyFill="1" applyBorder="1" applyAlignment="1">
      <alignment horizontal="left"/>
    </xf>
    <xf numFmtId="0" fontId="24" fillId="36" borderId="0" xfId="0" applyFont="1" applyFill="1" applyAlignment="1">
      <alignment horizontal="left"/>
    </xf>
    <xf numFmtId="0" fontId="24" fillId="36" borderId="1" xfId="0" applyFont="1" applyFill="1" applyBorder="1" applyAlignment="1">
      <alignment horizontal="left"/>
    </xf>
    <xf numFmtId="0" fontId="3" fillId="36" borderId="1" xfId="0" applyFont="1" applyFill="1" applyBorder="1"/>
    <xf numFmtId="1" fontId="2" fillId="36" borderId="1" xfId="0" applyNumberFormat="1" applyFont="1" applyFill="1" applyBorder="1"/>
    <xf numFmtId="166" fontId="24" fillId="36" borderId="1" xfId="35" applyNumberFormat="1" applyFont="1" applyFill="1" applyBorder="1" applyAlignment="1">
      <alignment horizontal="right"/>
    </xf>
    <xf numFmtId="0" fontId="0" fillId="36" borderId="1" xfId="0" applyFill="1" applyBorder="1"/>
    <xf numFmtId="166" fontId="24" fillId="36" borderId="0" xfId="0" applyNumberFormat="1" applyFont="1" applyFill="1" applyAlignment="1">
      <alignment horizontal="right"/>
    </xf>
    <xf numFmtId="166" fontId="24" fillId="36" borderId="1" xfId="0" applyNumberFormat="1" applyFont="1" applyFill="1" applyBorder="1" applyAlignment="1">
      <alignment horizontal="right"/>
    </xf>
    <xf numFmtId="0" fontId="1" fillId="36" borderId="1" xfId="0" applyFont="1" applyFill="1" applyBorder="1" applyAlignment="1">
      <alignment horizontal="center"/>
    </xf>
    <xf numFmtId="1" fontId="2" fillId="36" borderId="1" xfId="0" applyNumberFormat="1" applyFont="1" applyFill="1" applyBorder="1" applyAlignment="1">
      <alignment horizontal="center"/>
    </xf>
    <xf numFmtId="0" fontId="0" fillId="36" borderId="0" xfId="0" applyFill="1" applyAlignment="1">
      <alignment horizontal="center"/>
    </xf>
    <xf numFmtId="0" fontId="0" fillId="36" borderId="1" xfId="0" applyFill="1" applyBorder="1" applyAlignment="1">
      <alignment horizontal="center"/>
    </xf>
    <xf numFmtId="0" fontId="2" fillId="36" borderId="0" xfId="0" applyFont="1" applyFill="1"/>
    <xf numFmtId="0" fontId="23" fillId="36" borderId="0" xfId="0" applyFont="1" applyFill="1"/>
    <xf numFmtId="0" fontId="2" fillId="36" borderId="0" xfId="0" applyFont="1" applyFill="1" applyAlignment="1">
      <alignment horizontal="center"/>
    </xf>
    <xf numFmtId="0" fontId="23" fillId="36" borderId="1" xfId="0" applyFont="1" applyFill="1" applyBorder="1" applyAlignment="1">
      <alignment horizontal="center"/>
    </xf>
    <xf numFmtId="0" fontId="23" fillId="36" borderId="0" xfId="0" applyFont="1" applyFill="1" applyAlignment="1">
      <alignment horizontal="center"/>
    </xf>
    <xf numFmtId="2" fontId="2" fillId="36" borderId="1" xfId="0" applyNumberFormat="1" applyFont="1" applyFill="1" applyBorder="1"/>
    <xf numFmtId="4" fontId="2" fillId="36" borderId="1" xfId="0" applyNumberFormat="1" applyFont="1" applyFill="1" applyBorder="1"/>
    <xf numFmtId="2" fontId="0" fillId="36" borderId="1" xfId="0" applyNumberFormat="1" applyFill="1" applyBorder="1"/>
    <xf numFmtId="167" fontId="24" fillId="36" borderId="0" xfId="0" applyNumberFormat="1" applyFont="1" applyFill="1" applyAlignment="1">
      <alignment horizontal="right"/>
    </xf>
    <xf numFmtId="168" fontId="24" fillId="36" borderId="0" xfId="0" applyNumberFormat="1" applyFont="1" applyFill="1" applyAlignment="1">
      <alignment horizontal="right"/>
    </xf>
    <xf numFmtId="168" fontId="24" fillId="36" borderId="1" xfId="0" applyNumberFormat="1" applyFont="1" applyFill="1" applyBorder="1" applyAlignment="1">
      <alignment horizontal="right"/>
    </xf>
    <xf numFmtId="167" fontId="24" fillId="36" borderId="1" xfId="0" applyNumberFormat="1" applyFont="1" applyFill="1" applyBorder="1" applyAlignment="1">
      <alignment horizontal="right"/>
    </xf>
    <xf numFmtId="164" fontId="0" fillId="36" borderId="3" xfId="1" applyFont="1" applyFill="1" applyBorder="1"/>
    <xf numFmtId="164" fontId="0" fillId="36" borderId="0" xfId="1" applyFont="1" applyFill="1" applyBorder="1"/>
    <xf numFmtId="164" fontId="6" fillId="36" borderId="0" xfId="1" applyFont="1" applyFill="1" applyBorder="1" applyAlignment="1">
      <alignment horizontal="center" vertical="center"/>
    </xf>
    <xf numFmtId="2" fontId="2" fillId="36" borderId="0" xfId="0" applyNumberFormat="1" applyFont="1" applyFill="1"/>
    <xf numFmtId="0" fontId="29" fillId="36" borderId="1" xfId="0" applyFont="1" applyFill="1" applyBorder="1"/>
    <xf numFmtId="0" fontId="30" fillId="36" borderId="1" xfId="0" applyFont="1" applyFill="1" applyBorder="1"/>
    <xf numFmtId="14" fontId="30" fillId="36" borderId="1" xfId="0" applyNumberFormat="1" applyFont="1" applyFill="1" applyBorder="1"/>
    <xf numFmtId="166" fontId="31" fillId="36" borderId="1" xfId="35" applyNumberFormat="1" applyFont="1" applyFill="1" applyBorder="1" applyAlignment="1">
      <alignment horizontal="right"/>
    </xf>
    <xf numFmtId="166" fontId="31" fillId="36" borderId="0" xfId="0" applyNumberFormat="1" applyFont="1" applyFill="1" applyAlignment="1">
      <alignment horizontal="right"/>
    </xf>
    <xf numFmtId="166" fontId="31" fillId="36" borderId="1" xfId="0" applyNumberFormat="1" applyFont="1" applyFill="1" applyBorder="1" applyAlignment="1">
      <alignment horizontal="right"/>
    </xf>
    <xf numFmtId="0" fontId="17" fillId="36" borderId="0" xfId="0" applyFont="1" applyFill="1"/>
  </cellXfs>
  <cellStyles count="74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" xfId="46" builtinId="32" customBuiltin="1"/>
    <cellStyle name="60% - Accent1 2" xfId="38"/>
    <cellStyle name="60% - Accent2" xfId="47" builtinId="36" customBuiltin="1"/>
    <cellStyle name="60% - Accent2 2" xfId="39"/>
    <cellStyle name="60% - Accent3" xfId="48" builtinId="40" customBuiltin="1"/>
    <cellStyle name="60% - Accent3 2" xfId="40"/>
    <cellStyle name="60% - Accent4" xfId="49" builtinId="44" customBuiltin="1"/>
    <cellStyle name="60% - Accent4 2" xfId="41"/>
    <cellStyle name="60% - Accent5" xfId="50" builtinId="48" customBuiltin="1"/>
    <cellStyle name="60% - Accent5 2" xfId="42"/>
    <cellStyle name="60% - Accent6" xfId="51" builtinId="52" customBuiltin="1"/>
    <cellStyle name="60% - Accent6 2" xfId="43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Explanatory Text" xfId="15" builtinId="53" customBuilti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Input" xfId="8" builtinId="20" customBuiltin="1"/>
    <cellStyle name="Linked Cell" xfId="11" builtinId="24" customBuiltin="1"/>
    <cellStyle name="Neutral" xfId="45" builtinId="28" customBuiltin="1"/>
    <cellStyle name="Neutral 2" xfId="37"/>
    <cellStyle name="Normal" xfId="0" builtinId="0"/>
    <cellStyle name="Normal 2" xfId="35"/>
    <cellStyle name="Note" xfId="14" builtinId="10" customBuiltin="1"/>
    <cellStyle name="Output" xfId="9" builtinId="21" customBuiltin="1"/>
    <cellStyle name="Title" xfId="44" builtinId="15" customBuiltin="1"/>
    <cellStyle name="Title 2" xfId="36"/>
    <cellStyle name="Total" xfId="16" builtinId="25" customBuiltin="1"/>
    <cellStyle name="Warning Text" xfId="13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9" Type="http://schemas.microsoft.com/office/2017/10/relationships/person" Target="persons/perso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 RIO PIVOT TABLE.xlsx]Pivot!PivotTable1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Pivot!$E$4:$E$5</c:f>
              <c:strCache>
                <c:ptCount val="1"/>
                <c:pt idx="0">
                  <c:v>Sum of Qty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Pivot!$A$6:$D$11</c:f>
              <c:multiLvlStrCache>
                <c:ptCount val="4"/>
                <c:lvl>
                  <c:pt idx="0">
                    <c:v>NURA CV 625</c:v>
                  </c:pt>
                  <c:pt idx="1">
                    <c:v>NUROFER SYP 225ML</c:v>
                  </c:pt>
                  <c:pt idx="2">
                    <c:v>NEUROPAINWIN TAB</c:v>
                  </c:pt>
                  <c:pt idx="3">
                    <c:v>NUROFER XT</c:v>
                  </c:pt>
                </c:lvl>
                <c:lvl>
                  <c:pt idx="0">
                    <c:v>8574</c:v>
                  </c:pt>
                  <c:pt idx="2">
                    <c:v>7988</c:v>
                  </c:pt>
                </c:lvl>
                <c:lvl>
                  <c:pt idx="0">
                    <c:v>13-09-2025</c:v>
                  </c:pt>
                  <c:pt idx="2">
                    <c:v>04-09-2025</c:v>
                  </c:pt>
                </c:lvl>
                <c:lvl>
                  <c:pt idx="0">
                    <c:v>SHREE GAJANAN MEDICAL ROOM NO.2, 1ST FL, SN 5/4 NR</c:v>
                  </c:pt>
                </c:lvl>
              </c:multiLvlStrCache>
            </c:multiLvlStrRef>
          </c:cat>
          <c:val>
            <c:numRef>
              <c:f>Pivot!$E$6:$E$11</c:f>
              <c:numCache>
                <c:formatCode>0</c:formatCode>
                <c:ptCount val="4"/>
                <c:pt idx="0">
                  <c:v>5.0</c:v>
                </c:pt>
                <c:pt idx="1">
                  <c:v>5.0</c:v>
                </c:pt>
                <c:pt idx="2">
                  <c:v>5.0</c:v>
                </c:pt>
                <c:pt idx="3">
                  <c:v>5.0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BC-4DC3-9DBE-8305857FCAD2}"/>
            </c:ext>
          </c:extLst>
        </c:ser>
        <c:ser>
          <c:idx val="1"/>
          <c:order val="1"/>
          <c:tx>
            <c:strRef>
              <c:f>Pivot!$F$4:$F$5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Pivot!$A$6:$D$11</c:f>
              <c:multiLvlStrCache>
                <c:ptCount val="4"/>
                <c:lvl>
                  <c:pt idx="0">
                    <c:v>NURA CV 625</c:v>
                  </c:pt>
                  <c:pt idx="1">
                    <c:v>NUROFER SYP 225ML</c:v>
                  </c:pt>
                  <c:pt idx="2">
                    <c:v>NEUROPAINWIN TAB</c:v>
                  </c:pt>
                  <c:pt idx="3">
                    <c:v>NUROFER XT</c:v>
                  </c:pt>
                </c:lvl>
                <c:lvl>
                  <c:pt idx="0">
                    <c:v>8574</c:v>
                  </c:pt>
                  <c:pt idx="2">
                    <c:v>7988</c:v>
                  </c:pt>
                </c:lvl>
                <c:lvl>
                  <c:pt idx="0">
                    <c:v>13-09-2025</c:v>
                  </c:pt>
                  <c:pt idx="2">
                    <c:v>04-09-2025</c:v>
                  </c:pt>
                </c:lvl>
                <c:lvl>
                  <c:pt idx="0">
                    <c:v>SHREE GAJANAN MEDICAL ROOM NO.2, 1ST FL, SN 5/4 NR</c:v>
                  </c:pt>
                </c:lvl>
              </c:multiLvlStrCache>
            </c:multiLvlStrRef>
          </c:cat>
          <c:val>
            <c:numRef>
              <c:f>Pivot!$F$6:$F$11</c:f>
              <c:numCache>
                <c:formatCode>0.00</c:formatCode>
                <c:ptCount val="4"/>
                <c:pt idx="0">
                  <c:v>731.55</c:v>
                </c:pt>
                <c:pt idx="1">
                  <c:v>785.7</c:v>
                </c:pt>
                <c:pt idx="2">
                  <c:v>857.15</c:v>
                </c:pt>
                <c:pt idx="3">
                  <c:v>778.7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ABC-4DC3-9DBE-8305857FCAD2}"/>
            </c:ext>
          </c:extLst>
        </c:ser>
        <c:ser>
          <c:idx val="2"/>
          <c:order val="2"/>
          <c:tx>
            <c:strRef>
              <c:f>Pivot!$G$4:$G$5</c:f>
              <c:strCache>
                <c:ptCount val="1"/>
                <c:pt idx="0">
                  <c:v>Sum of Commission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Pivot!$A$6:$D$11</c:f>
              <c:multiLvlStrCache>
                <c:ptCount val="4"/>
                <c:lvl>
                  <c:pt idx="0">
                    <c:v>NURA CV 625</c:v>
                  </c:pt>
                  <c:pt idx="1">
                    <c:v>NUROFER SYP 225ML</c:v>
                  </c:pt>
                  <c:pt idx="2">
                    <c:v>NEUROPAINWIN TAB</c:v>
                  </c:pt>
                  <c:pt idx="3">
                    <c:v>NUROFER XT</c:v>
                  </c:pt>
                </c:lvl>
                <c:lvl>
                  <c:pt idx="0">
                    <c:v>8574</c:v>
                  </c:pt>
                  <c:pt idx="2">
                    <c:v>7988</c:v>
                  </c:pt>
                </c:lvl>
                <c:lvl>
                  <c:pt idx="0">
                    <c:v>13-09-2025</c:v>
                  </c:pt>
                  <c:pt idx="2">
                    <c:v>04-09-2025</c:v>
                  </c:pt>
                </c:lvl>
                <c:lvl>
                  <c:pt idx="0">
                    <c:v>SHREE GAJANAN MEDICAL ROOM NO.2, 1ST FL, SN 5/4 NR</c:v>
                  </c:pt>
                </c:lvl>
              </c:multiLvlStrCache>
            </c:multiLvlStrRef>
          </c:cat>
          <c:val>
            <c:numRef>
              <c:f>Pivot!$G$6:$G$11</c:f>
              <c:numCache>
                <c:formatCode>0.00</c:formatCode>
                <c:ptCount val="4"/>
                <c:pt idx="0">
                  <c:v>219.465</c:v>
                </c:pt>
                <c:pt idx="1">
                  <c:v>235.71</c:v>
                </c:pt>
                <c:pt idx="2">
                  <c:v>257.145</c:v>
                </c:pt>
                <c:pt idx="3">
                  <c:v>233.61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ABC-4DC3-9DBE-8305857FC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74620032"/>
        <c:axId val="-474618256"/>
      </c:barChart>
      <c:catAx>
        <c:axId val="-4746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74618256"/>
        <c:crosses val="autoZero"/>
        <c:auto val="1"/>
        <c:lblAlgn val="ctr"/>
        <c:lblOffset val="100"/>
        <c:noMultiLvlLbl val="0"/>
      </c:catAx>
      <c:valAx>
        <c:axId val="-4746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746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B9AA8519-D4F5-6E4A-E854-CC02CACC9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icrosoft Office User" refreshedDate="45950.656958217594" createdVersion="8" refreshedVersion="4" minRefreshableVersion="3" recordCount="415">
  <cacheSource type="worksheet">
    <worksheetSource ref="A1:M416" sheet="Pharmario Main "/>
  </cacheSource>
  <cacheFields count="13">
    <cacheField name="Date" numFmtId="14">
      <sharedItems containsSemiMixedTypes="0" containsNonDate="0" containsDate="1" containsString="0" minDate="2025-05-15T00:00:00" maxDate="2025-10-01T00:00:00" count="103">
        <d v="2025-06-21T00:00:00"/>
        <d v="2025-06-09T00:00:00"/>
        <d v="2025-06-25T00:00:00"/>
        <d v="2025-05-26T00:00:00"/>
        <d v="2025-06-13T00:00:00"/>
        <d v="2025-05-28T00:00:00"/>
        <d v="2025-05-31T00:00:00"/>
        <d v="2025-05-21T00:00:00"/>
        <d v="2025-06-16T00:00:00"/>
        <d v="2025-06-14T00:00:00"/>
        <d v="2025-06-18T00:00:00"/>
        <d v="2025-06-27T00:00:00"/>
        <d v="2025-06-26T00:00:00"/>
        <d v="2025-05-19T00:00:00"/>
        <d v="2025-06-04T00:00:00"/>
        <d v="2025-06-08T00:00:00"/>
        <d v="2025-06-30T00:00:00"/>
        <d v="2025-06-24T00:00:00"/>
        <d v="2025-05-29T00:00:00"/>
        <d v="2025-05-15T00:00:00"/>
        <d v="2025-05-25T00:00:00"/>
        <d v="2025-06-03T00:00:00"/>
        <d v="2025-06-15T00:00:00"/>
        <d v="2025-06-07T00:00:00"/>
        <d v="2025-06-10T00:00:00"/>
        <d v="2025-06-23T00:00:00"/>
        <d v="2025-06-06T00:00:00"/>
        <d v="2025-05-27T00:00:00"/>
        <d v="2025-05-17T00:00:00"/>
        <d v="2025-06-02T00:00:00"/>
        <d v="2025-06-05T00:00:00"/>
        <d v="2025-06-11T00:00:00"/>
        <d v="2025-07-12T00:00:00"/>
        <d v="2025-07-05T00:00:00"/>
        <d v="2025-07-04T00:00:00"/>
        <d v="2025-07-30T00:00:00"/>
        <d v="2025-07-20T00:00:00"/>
        <d v="2025-07-13T00:00:00"/>
        <d v="2025-07-27T00:00:00"/>
        <d v="2025-07-02T00:00:00"/>
        <d v="2025-07-15T00:00:00"/>
        <d v="2025-07-22T00:00:00"/>
        <d v="2025-07-25T00:00:00"/>
        <d v="2025-07-08T00:00:00"/>
        <d v="2025-07-29T00:00:00"/>
        <d v="2025-07-19T00:00:00"/>
        <d v="2025-07-24T00:00:00"/>
        <d v="2025-07-14T00:00:00"/>
        <d v="2025-07-28T00:00:00"/>
        <d v="2025-07-31T00:00:00"/>
        <d v="2025-07-07T00:00:00"/>
        <d v="2025-07-10T00:00:00"/>
        <d v="2025-07-23T00:00:00"/>
        <d v="2025-07-18T00:00:00"/>
        <d v="2025-07-17T00:00:00"/>
        <d v="2025-07-09T00:00:00"/>
        <d v="2025-08-30T00:00:00"/>
        <d v="2025-08-06T00:00:00"/>
        <d v="2025-08-26T00:00:00"/>
        <d v="2025-08-21T00:00:00"/>
        <d v="2025-08-12T00:00:00"/>
        <d v="2025-08-11T00:00:00"/>
        <d v="2025-08-25T00:00:00"/>
        <d v="2025-08-23T00:00:00"/>
        <d v="2025-08-13T00:00:00"/>
        <d v="2025-08-19T00:00:00"/>
        <d v="2025-08-01T00:00:00"/>
        <d v="2025-08-18T00:00:00"/>
        <d v="2025-08-29T00:00:00"/>
        <d v="2025-08-03T00:00:00"/>
        <d v="2025-08-05T00:00:00"/>
        <d v="2025-08-07T00:00:00"/>
        <d v="2025-08-04T00:00:00"/>
        <d v="2025-08-20T00:00:00"/>
        <d v="2025-08-28T00:00:00"/>
        <d v="2025-08-14T00:00:00"/>
        <d v="2025-08-22T00:00:00"/>
        <d v="2025-08-16T00:00:00"/>
        <d v="2025-08-09T00:00:00"/>
        <d v="2025-09-06T00:00:00"/>
        <d v="2025-09-30T00:00:00"/>
        <d v="2025-09-26T00:00:00"/>
        <d v="2025-09-19T00:00:00"/>
        <d v="2025-09-12T00:00:00"/>
        <d v="2025-09-27T00:00:00"/>
        <d v="2025-09-13T00:00:00"/>
        <d v="2025-09-11T00:00:00"/>
        <d v="2025-09-09T00:00:00"/>
        <d v="2025-09-02T00:00:00"/>
        <d v="2025-09-20T00:00:00"/>
        <d v="2025-09-04T00:00:00"/>
        <d v="2025-09-10T00:00:00"/>
        <d v="2025-09-08T00:00:00"/>
        <d v="2025-09-29T00:00:00"/>
        <d v="2025-09-15T00:00:00"/>
        <d v="2025-09-01T00:00:00"/>
        <d v="2025-09-22T00:00:00"/>
        <d v="2025-09-17T00:00:00"/>
        <d v="2025-09-24T00:00:00"/>
        <d v="2025-09-18T00:00:00"/>
        <d v="2025-09-23T00:00:00"/>
        <d v="2025-09-25T00:00:00"/>
        <d v="2025-09-16T00:00:00"/>
      </sharedItems>
    </cacheField>
    <cacheField name="Voucher no" numFmtId="0">
      <sharedItems containsMixedTypes="1" containsNumber="1" containsInteger="1" minValue="176" maxValue="9569" count="240">
        <s v="150CCB "/>
        <s v="120CCB "/>
        <s v="162CCB "/>
        <s v="87CCB "/>
        <s v="134CCB "/>
        <s v="92CCB "/>
        <s v="96CCB"/>
        <s v="78CCB "/>
        <s v="137CCB "/>
        <s v="135CCB "/>
        <s v="143CCB "/>
        <s v="166CCB "/>
        <s v="163CCB "/>
        <s v="134CCB"/>
        <s v="74CCB"/>
        <s v="105CCB "/>
        <s v="115CCB"/>
        <s v="137CCB"/>
        <s v="172CCB "/>
        <s v="160CCB "/>
        <s v="94CCB "/>
        <s v="67CCB "/>
        <s v="86CCB"/>
        <s v="67CCB"/>
        <s v="103CCB"/>
        <s v="92CCB"/>
        <s v="136CCB"/>
        <s v="149CCB"/>
        <s v="166CCB"/>
        <s v="143CCB"/>
        <s v="113CCB"/>
        <s v="122CCB"/>
        <s v="156CCB"/>
        <s v="112CCB"/>
        <s v="118CCB"/>
        <s v="89CCB"/>
        <s v="69CCB"/>
        <s v="100CCB"/>
        <s v="110CCB"/>
        <s v="127CCB"/>
        <s v="105CCB"/>
        <n v="195"/>
        <n v="183"/>
        <n v="194"/>
        <n v="178"/>
        <n v="228"/>
        <n v="210"/>
        <n v="196"/>
        <n v="223"/>
        <n v="176"/>
        <n v="199"/>
        <n v="214"/>
        <n v="221"/>
        <n v="187"/>
        <n v="227"/>
        <n v="209"/>
        <n v="5448"/>
        <n v="4880"/>
        <n v="5721"/>
        <n v="5459"/>
        <n v="5897"/>
        <n v="4482"/>
        <n v="4604"/>
        <n v="5447"/>
        <n v="5511"/>
        <n v="4607"/>
        <n v="5723"/>
        <n v="5460"/>
        <n v="5347"/>
        <n v="4410"/>
        <n v="5073"/>
        <n v="4805"/>
        <n v="5011"/>
        <n v="5149"/>
        <n v="5456"/>
        <n v="4784"/>
        <n v="5226"/>
        <n v="4605"/>
        <n v="4048"/>
        <n v="5854"/>
        <n v="5009"/>
        <n v="5085"/>
        <n v="5627"/>
        <n v="4542"/>
        <n v="5417"/>
        <n v="4885"/>
        <n v="5150"/>
        <n v="4894"/>
        <n v="4734"/>
        <n v="5446"/>
        <n v="4603"/>
        <n v="5314"/>
        <n v="4781"/>
        <n v="293"/>
        <n v="247"/>
        <n v="243"/>
        <n v="245"/>
        <n v="289"/>
        <n v="280"/>
        <n v="242"/>
        <n v="290"/>
        <n v="260"/>
        <n v="258"/>
        <n v="286"/>
        <n v="283"/>
        <n v="263"/>
        <n v="277"/>
        <n v="231"/>
        <n v="275"/>
        <n v="292"/>
        <n v="233"/>
        <n v="240"/>
        <n v="251"/>
        <n v="287"/>
        <n v="234"/>
        <n v="7091"/>
        <n v="7638"/>
        <n v="6981"/>
        <n v="7634"/>
        <n v="7156"/>
        <n v="6565"/>
        <n v="6978"/>
        <n v="6780"/>
        <n v="7635"/>
        <n v="7213"/>
        <n v="7074"/>
        <n v="7303"/>
        <n v="6844"/>
        <n v="7607"/>
        <n v="7690"/>
        <n v="7200"/>
        <n v="7343"/>
        <n v="6980"/>
        <n v="6589"/>
        <n v="6463"/>
        <n v="7140"/>
        <n v="6062"/>
        <n v="6286"/>
        <n v="6084"/>
        <n v="6430"/>
        <n v="7079"/>
        <n v="7606"/>
        <n v="7173"/>
        <n v="7637"/>
        <n v="7593"/>
        <n v="8161"/>
        <n v="9566"/>
        <n v="9568"/>
        <n v="9567"/>
        <n v="9345"/>
        <n v="8928"/>
        <n v="9557"/>
        <n v="9323"/>
        <n v="9326"/>
        <n v="9565"/>
        <n v="8535"/>
        <n v="8127"/>
        <n v="9321"/>
        <n v="9562"/>
        <n v="9327"/>
        <n v="9417"/>
        <n v="9332"/>
        <n v="8573"/>
        <n v="8450"/>
        <n v="8286"/>
        <n v="7873"/>
        <n v="9561"/>
        <n v="9564"/>
        <n v="8575"/>
        <n v="8160"/>
        <n v="8978"/>
        <n v="9298"/>
        <n v="7966"/>
        <n v="7842"/>
        <n v="8344"/>
        <n v="8166"/>
        <n v="8402"/>
        <n v="9441"/>
        <n v="8620"/>
        <n v="9324"/>
        <n v="8532"/>
        <n v="9556"/>
        <n v="8582"/>
        <n v="9346"/>
        <n v="8445"/>
        <n v="9560"/>
        <n v="7988"/>
        <n v="8574"/>
        <n v="9325"/>
        <n v="9347"/>
        <n v="7774"/>
        <n v="9046"/>
        <n v="8173"/>
        <n v="8343"/>
        <n v="9374"/>
        <n v="8785"/>
        <n v="8114"/>
        <n v="9180"/>
        <n v="9330"/>
        <n v="9193"/>
        <n v="8326"/>
        <n v="8159"/>
        <n v="9569"/>
        <n v="353"/>
        <n v="337"/>
        <n v="331"/>
        <n v="354"/>
        <n v="317"/>
        <n v="339"/>
        <n v="357"/>
        <n v="330"/>
        <n v="348"/>
        <n v="345"/>
        <n v="336"/>
        <n v="332"/>
        <n v="304"/>
        <n v="296"/>
        <n v="313"/>
        <n v="308"/>
        <n v="318"/>
        <n v="360"/>
        <n v="343"/>
        <n v="352"/>
        <n v="297"/>
        <n v="346"/>
        <n v="325"/>
        <n v="328"/>
        <n v="326"/>
        <n v="316"/>
        <n v="309"/>
        <n v="312"/>
        <n v="323"/>
        <n v="342"/>
        <n v="329"/>
        <n v="351"/>
        <n v="347"/>
        <n v="320"/>
        <n v="306"/>
        <n v="305"/>
        <n v="300"/>
      </sharedItems>
    </cacheField>
    <cacheField name="MEDICAL " numFmtId="0">
      <sharedItems count="74">
        <s v="DR ANAND CHAVAN ATHARVA CLINIC"/>
        <s v="MAULI MEDICAL &amp; GEN STORES"/>
        <s v="S S PHARMA"/>
        <s v="SMH PHARMACY"/>
        <s v="DR PRASHANT BAMB CHINCHWAD GAON"/>
        <s v="MED MART "/>
        <s v="OPTIMA MEDICO "/>
        <s v="ATUL MEDICAL &amp; GEN STORE GROUND FLR, SHOP NO.15,B.G"/>
        <s v="JAY GANESH PHARMA SAMADHAN CHOWK PIMPRIGAON"/>
        <s v="JIVANREKHA MEDICAL DEHUROAD PUNE"/>
        <s v="JYOTI MEDICAL &amp; GEN STORES PIRING MEDOWS, SHOP NO 4,WAKAD"/>
        <s v="KIRAN MEDICARE SHOP NO 4,5 GR FL, BUCHADE PRO"/>
        <s v="MAULI MEDICAL NIGDI SAINATH NAGAR SHOP NO 4"/>
        <s v="NILESH MEDICAL &amp; GEN STORE SHOP NO 3.GROUND FLOOR SONKAR"/>
        <s v="NIRMAL MEDICO SHOP NO.15, GROUND FLOOR,Z"/>
        <s v="NITIN MEDICAL STORE SHOP NO5 MARUNJI PUNE"/>
        <s v="NOBEL MEDICAL DRUGGIST &amp; CHEMI SHOP NO - 1,2, MARUNJI"/>
        <s v="RAJVEER MEDICAL. GUJAR NAGAR NEAR SHAR CLINIC"/>
        <s v="SAI DATTA MEDICAL SHOP NO.01, GR FLR. SURVEY"/>
        <s v="SHREE MEDICAL &amp; GENERAL STORES SHOP NO.3 TELANG HEIGHT,PRADHI"/>
        <s v="SHREE SWAMI SAMARTH MED &amp; GEHI HINJWADI PUNE"/>
        <s v="SUNMED PHARMACY SHOP NO.5 SHREE GANESH TI"/>
        <s v="TIRUPATI MEDICAL THERGOAN MANGAL NAGAR WAKAD RO"/>
        <s v="VARAD MEDICAL SHOP NO.1. NHAVAI ALI PIMPRI"/>
        <s v="CITY MEDICO SHOP NO. 1, CITY HOSPITAL BLDG"/>
        <s v="DR SIDDHI CLINIC SHOP NO. 2, NEAR SHRI SAI FABR"/>
        <s v="KARTIKI MEDICAL &amp; GEN STORES S . NO. 124, SHOP NO. 4, DHAVD"/>
        <s v="MAULI MEDICAL SHOP NO.4, F C ROAD, MORYA"/>
        <s v="RUDRA MEDICAL, SHOP NO. 1, RUDRA HOSPITAL, KA"/>
        <s v="S S PHARMA, AKURDI SHOP NO. 1. GROUND FLOOR,J"/>
        <s v="SMH PHARMACY "/>
        <s v="DANSHREE MEDICAL SR NO.73 ADARSHANAGAR PATIL"/>
        <s v="OPTIMA MEDICO WAKAD"/>
        <s v="PANDURANG MEDICAL &amp; GRN STO SHOP NO,1 OPP VISHAL ANGAN ,"/>
        <s v="PHARMA RIO SERVICES GODWON NO.1 FIRST FLOOR"/>
        <s v="PRAKASH MEDICO SHIVAJI CHOWK HINJWADI"/>
        <s v="RAJ MEDICAL &amp; GENERAL STORE SHOP NO.1 GR FLOOR GAJANAN"/>
        <s v="SAINATH MEDICAL SHOP NO4,SR,NO.13/1A/2 &amp; 14/1,"/>
        <s v="SHREE SIDDHI VINAYAK HOSPITAL HINJWADI PHASE1.DILIP SONIGARA"/>
        <s v="SHREE SIDDHIVINAYAK  CLINIC HINJEWADI PHASE 1, NEAR DI"/>
        <s v="TAPOVAN MEDICALSTORE SHOP NO 3, SR NO 244/1/1A"/>
        <s v="VIGHNAHARTA MEDICAL DEU PUNE .SHIVNAGARI SOCIETY"/>
        <s v="WELLNESS MEDICAL HINJAWADI MARUNJI SHOP NO 1"/>
        <s v="SARTHAKI MEDICAL NEAR HINJEWADI GOWTHAN OPP"/>
        <s v="ANMOL MEDICAL STORE DHIRAJ PARK,KESHAV NAGAR,"/>
        <s v="ANUJA GHOM DR BHMS, PGDEMS PUNE"/>
        <s v="ANUSHREE MEDICAL SHOP NO.1, GR FLR, BUCHADE"/>
        <s v="DHANSHREE MEDICO CHEMIST &amp;DRUG GIST  .MILKAT NO568, S. NO.142"/>
        <s v="GANESH MEDICAL &amp; GEN STORES NEAR MARUNJI HOSPITAL, MUL"/>
        <s v="KAVYA MEDICAL RAHATANI  SHOP NO 5GR FLOOR CT"/>
        <s v="LAXMI MED &amp; GEN STORES NEAR DHANWANTARI HOSPITAL,"/>
        <s v="LAXMI MEDICAL STORE PIMPRI SHOP NO 1. GRD FLR NIL"/>
        <s v="OM GAGANGIRI MED &amp; GEN STORE PUNAWALE, TAL. MULSHI , DIS"/>
        <s v="OM KARMYOGI MEDICAL CHEM&amp; DRUG PUNAWALE CHEMIST &amp; DRUGGIST"/>
        <s v="OPTIMA MEDICO. PUNAWALE"/>
        <s v="PENTAGON PHARMACY PENTAGON HOSPITAL , SHOP NO 1"/>
        <s v="PRASHANT DR BAMB KESHAVNARAR CHICHWAD"/>
        <s v="PRASHANT MEDICO SHOP NO.1.B WING GROUND FLOOR"/>
        <s v="SAI CLINIC SAHIL PLAZA, S NO.273, BHATEW"/>
        <s v="SHARAYU MED &amp; GEN STORES AT POST MARUNJI, TAL MULSH"/>
        <s v="SHREE GAJANAN MEDICAL ROOM NO.2, 1ST FL, SN 5/4 NR"/>
        <s v="SIDDHI CLINIC SHOP NO.2, NEAR SHRI SAI FABRI"/>
        <s v="SMH PHARMACY RM NO.3,M.NO.259A1,1ST FL, SAN"/>
        <s v="CHAITANYA MEDICAL &amp; GENERAL ST OPP PODDAR SCHOOL, CHINCHWAD G"/>
        <s v="DR MRUNAL KALE YASHASHREE SANKALP BUILDING, P"/>
        <s v="DR SWAPNIL GOSAVI SHIVAJI CHOWK, HINJEWADI PHASE"/>
        <s v="LAXMI MEDICAL, RAMWADI SURVEY NO.29, NGAR ROAD, R"/>
        <s v="NEW CHAITANYA MEDICAL YASHOGANDHA APARTMENT,KESHAV N"/>
        <s v="NEW KAMAL MEDICAL SHOP NO. 1, 1ST FLOOR, S NO 73"/>
        <s v="PRADNYA MEDICAL &amp; GEN STORES S. NO. 87/1,  MIL NO. 1536, NE"/>
        <s v="SADGURU MEDICAL SWAMI SAMARTHA COMPLEX, SADGUR"/>
        <s v="SHREE SAMARTHA KRUPA HOSPITAL WAKAD, SSK HOSPITAL, SADAURJ,"/>
        <s v="SHRI SWAMI SAMARTHA MEDICAL SADGURU NAGAR, BHOSARI, NEAR G"/>
        <s v="SMH PHARMACY SANJEEVANI MULTISPECIALITY"/>
      </sharedItems>
    </cacheField>
    <cacheField name="Product Name" numFmtId="0">
      <sharedItems count="30">
        <s v="NURAPAN IV INJ"/>
        <s v="NEUROPAINWIN TAB  "/>
        <s v="NURA CV 625"/>
        <s v="NUROFER XT"/>
        <s v="AZEEMYCIN 250MG"/>
        <s v="AZEEMYCIN 500MG"/>
        <s v="CLOBETIX CREAM"/>
        <s v="NEUROPAINWIN TAB"/>
        <s v="NURAMONT LC TAB"/>
        <s v="NURAPAN 40 TAB"/>
        <s v="NUREXIME 200MG"/>
        <s v="NUREXIME PLUS 500MG"/>
        <s v="NUROFENAC P"/>
        <s v="NUROFENAC SP TAB"/>
        <s v="REBIFER DSR CAPS"/>
        <s v="NURAPAN D TAB"/>
        <s v="PIPNOR T4.5MG"/>
        <s v="NUROWIN TAB"/>
        <s v="NURODOSIN D 8 TAB"/>
        <s v="NUROCAL CAP"/>
        <s v="NUROFER SYP 225ML"/>
        <s v="NUROJTWIN TAB"/>
        <s v="CALKAL K2-7 SOFT GEL"/>
        <s v="NURODOSIN D4 TAB"/>
        <s v="VSONIL 100 ML SYP"/>
        <s v="MUPIRAX OINTMENT"/>
        <s v="NURACONAZOLE 200 CAP"/>
        <s v="NUREXIM O  TAB"/>
        <s v="NUROJTWIN PLUS TAB"/>
        <s v="LIPOTECH TAB"/>
      </sharedItems>
    </cacheField>
    <cacheField name="Qty   " numFmtId="0">
      <sharedItems containsSemiMixedTypes="0" containsString="0" containsNumber="1" containsInteger="1" minValue="1" maxValue="500"/>
    </cacheField>
    <cacheField name="SCHEME" numFmtId="0">
      <sharedItems containsString="0" containsBlank="1" containsNumber="1" containsInteger="1" minValue="0" maxValue="14"/>
    </cacheField>
    <cacheField name="Rate" numFmtId="0">
      <sharedItems containsString="0" containsBlank="1" containsNumber="1" minValue="1" maxValue="396"/>
    </cacheField>
    <cacheField name="Doctor" numFmtId="0">
      <sharedItems containsBlank="1" count="58">
        <s v="NA"/>
        <s v="MEDURA HOSPiTAL"/>
        <s v="DR.SWAPNIL BIRAJDAR SIR"/>
        <s v="DR.ASHOK BAIRAGI"/>
        <s v="DR.SONALI KULKARNI"/>
        <s v="DR.AJINKYA PATANE"/>
        <s v="DR.ASHPAK BANGI"/>
        <s v="Dr.Divya Mam"/>
        <s v="DR.ROHAN SHIROLE"/>
        <s v="DR.MANISHA KHAIRNAR"/>
        <s v="Dr Kamini Wankhede"/>
        <s v="DR.MONICA DAHIVELKAR MAM"/>
        <s v="DR.VIJAY GADE"/>
        <s v="DR JANHVI KANORE MAM"/>
        <s v="DR SAMRUDDHI MAM"/>
        <s v="Dr Deepali Shibe"/>
        <s v="DR GARGI TRIPATHI MAM"/>
        <s v="Dr Vaishnavi Kuthe"/>
        <s v="Dr Pooja Puri"/>
        <s v="DR MRUNALI PATIL"/>
        <s v="DR MAYURI ANDHALE MAM"/>
        <s v="DR.SWAPNIL GOSAWI"/>
        <m/>
        <s v="DR.ANUJA GHOM"/>
        <s v="DR.DESHMUKH"/>
        <s v="DR.GIRISH GAIKWAD"/>
        <s v="DR.SAYALI PATIL"/>
        <s v="DR.CHAUDHARI"/>
        <s v="DR.KIRAN JOSHI"/>
        <s v="DR.REVATI LATNE"/>
        <s v="DR.ANUP LATNE"/>
        <s v="DR.ATUL RODE"/>
        <s v="DR.PRASHANT LAMB"/>
        <s v="DR.ROHINI SHIROLE"/>
        <s v="DR.AMITA BHATTAB"/>
        <s v="DR.SIDDHI"/>
        <s v="DR.GARGI TRIPATHI"/>
        <s v="DR.SHAILENDRA TILEKAR"/>
        <s v="DR.YASHODHAN "/>
        <s v="DR.SHITAL NAGARGOJE"/>
        <s v="DR MRUNAL KALE "/>
        <s v="DR KANODE"/>
        <s v="DR SANDEEP KHESE"/>
        <s v="DR SACHIN ZAWARE"/>
        <s v="DR WAGH"/>
        <s v="DR NILESH NANGARE"/>
        <s v="DR INGAWALE"/>
        <s v="Dr Ajinkya Patane" u="1"/>
        <s v="DR ROHAN SHIROLE SIR" u="1"/>
        <s v="DR MRUNALINI PATIL" u="1"/>
        <s v="Dr Sonali Kulkarni Mam" u="1"/>
        <s v="Dr Ashpak Bangi" u="1"/>
        <s v="DR SWAPNIL GOSAWI" u="1"/>
        <s v="DR.BAIRAGI SIR" u="1"/>
        <s v="DR.JANHVI " u="1"/>
        <s v="DR MANISHA KHAIRNAR MAM" u="1"/>
        <s v="Dr Vijay Gade" u="1"/>
        <s v="DR SWAPNIL GOSAWI SIR" u="1"/>
      </sharedItems>
    </cacheField>
    <cacheField name="Amount" numFmtId="0">
      <sharedItems containsSemiMixedTypes="0" containsString="0" containsNumber="1" minValue="1" maxValue="37500"/>
    </cacheField>
    <cacheField name="Month" numFmtId="49">
      <sharedItems count="5">
        <s v="Jun-25"/>
        <s v="May-25"/>
        <s v="July-25"/>
        <s v="Aug-25"/>
        <s v="Sep-25"/>
      </sharedItems>
    </cacheField>
    <cacheField name="PTS" numFmtId="0">
      <sharedItems containsString="0" containsBlank="1" containsNumber="1" minValue="10.8" maxValue="325.28571428571399"/>
    </cacheField>
    <cacheField name="PTR" numFmtId="0">
      <sharedItems containsString="0" containsBlank="1" containsNumber="1" minValue="12" maxValue="361.43"/>
    </cacheField>
    <cacheField name="Commission" numFmtId="2">
      <sharedItems containsSemiMixedTypes="0" containsString="0" containsNumber="1" minValue="0" maxValue="59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5">
  <r>
    <x v="0"/>
    <x v="0"/>
    <x v="0"/>
    <x v="0"/>
    <n v="10"/>
    <n v="0"/>
    <m/>
    <x v="0"/>
    <n v="120"/>
    <x v="0"/>
    <n v="10.8"/>
    <n v="12"/>
    <n v="0"/>
  </r>
  <r>
    <x v="1"/>
    <x v="1"/>
    <x v="1"/>
    <x v="1"/>
    <n v="5"/>
    <n v="0"/>
    <m/>
    <x v="1"/>
    <n v="857.15"/>
    <x v="0"/>
    <n v="154.29"/>
    <n v="171.43"/>
    <n v="257.14499999999998"/>
  </r>
  <r>
    <x v="1"/>
    <x v="1"/>
    <x v="1"/>
    <x v="2"/>
    <n v="5"/>
    <n v="0"/>
    <m/>
    <x v="1"/>
    <n v="731.55"/>
    <x v="0"/>
    <n v="131.68"/>
    <n v="146.31"/>
    <n v="219.46499999999997"/>
  </r>
  <r>
    <x v="1"/>
    <x v="1"/>
    <x v="1"/>
    <x v="3"/>
    <n v="5"/>
    <n v="0"/>
    <m/>
    <x v="1"/>
    <n v="778.55"/>
    <x v="0"/>
    <n v="140.13999999999999"/>
    <n v="155.71"/>
    <n v="233.56499999999997"/>
  </r>
  <r>
    <x v="2"/>
    <x v="2"/>
    <x v="2"/>
    <x v="4"/>
    <n v="20"/>
    <n v="0"/>
    <m/>
    <x v="0"/>
    <n v="1115.8"/>
    <x v="0"/>
    <n v="50.21"/>
    <n v="55.79"/>
    <n v="0"/>
  </r>
  <r>
    <x v="2"/>
    <x v="2"/>
    <x v="2"/>
    <x v="5"/>
    <n v="20"/>
    <n v="0"/>
    <m/>
    <x v="0"/>
    <n v="1128.5999999999999"/>
    <x v="0"/>
    <n v="50.79"/>
    <n v="56.43"/>
    <n v="0"/>
  </r>
  <r>
    <x v="2"/>
    <x v="2"/>
    <x v="2"/>
    <x v="6"/>
    <n v="10"/>
    <n v="0"/>
    <m/>
    <x v="0"/>
    <n v="607.1"/>
    <x v="0"/>
    <n v="54.04"/>
    <n v="60.71"/>
    <n v="0"/>
  </r>
  <r>
    <x v="2"/>
    <x v="2"/>
    <x v="2"/>
    <x v="7"/>
    <n v="30"/>
    <n v="3"/>
    <m/>
    <x v="0"/>
    <n v="5142.8999999999996"/>
    <x v="0"/>
    <n v="154.29"/>
    <n v="171.43"/>
    <n v="0"/>
  </r>
  <r>
    <x v="2"/>
    <x v="2"/>
    <x v="2"/>
    <x v="2"/>
    <n v="30"/>
    <n v="0"/>
    <m/>
    <x v="0"/>
    <n v="4389.3"/>
    <x v="0"/>
    <n v="131.68"/>
    <n v="146.31"/>
    <n v="0"/>
  </r>
  <r>
    <x v="2"/>
    <x v="2"/>
    <x v="2"/>
    <x v="8"/>
    <n v="30"/>
    <n v="0"/>
    <m/>
    <x v="0"/>
    <n v="5892.9"/>
    <x v="0"/>
    <n v="176.79"/>
    <n v="196.43"/>
    <n v="0"/>
  </r>
  <r>
    <x v="2"/>
    <x v="2"/>
    <x v="2"/>
    <x v="9"/>
    <n v="30"/>
    <n v="3"/>
    <m/>
    <x v="0"/>
    <n v="1928.7"/>
    <x v="0"/>
    <n v="57.86"/>
    <n v="64.290000000000006"/>
    <n v="0"/>
  </r>
  <r>
    <x v="2"/>
    <x v="2"/>
    <x v="2"/>
    <x v="0"/>
    <n v="50"/>
    <n v="0"/>
    <m/>
    <x v="0"/>
    <n v="700"/>
    <x v="0"/>
    <n v="12.6"/>
    <n v="14"/>
    <n v="0"/>
  </r>
  <r>
    <x v="2"/>
    <x v="2"/>
    <x v="2"/>
    <x v="10"/>
    <n v="30"/>
    <n v="0"/>
    <m/>
    <x v="0"/>
    <n v="2335.8000000000002"/>
    <x v="0"/>
    <n v="69.290000000000006"/>
    <n v="77.86"/>
    <n v="0"/>
  </r>
  <r>
    <x v="2"/>
    <x v="2"/>
    <x v="2"/>
    <x v="11"/>
    <n v="30"/>
    <n v="0"/>
    <m/>
    <x v="0"/>
    <n v="10842.9"/>
    <x v="0"/>
    <n v="325.28571428571399"/>
    <n v="361.43"/>
    <n v="0"/>
  </r>
  <r>
    <x v="2"/>
    <x v="2"/>
    <x v="2"/>
    <x v="12"/>
    <n v="30"/>
    <n v="0"/>
    <m/>
    <x v="0"/>
    <n v="1500"/>
    <x v="0"/>
    <n v="45"/>
    <n v="50"/>
    <n v="0"/>
  </r>
  <r>
    <x v="2"/>
    <x v="2"/>
    <x v="2"/>
    <x v="13"/>
    <n v="20"/>
    <n v="0"/>
    <m/>
    <x v="0"/>
    <n v="2042.8"/>
    <x v="0"/>
    <n v="92.86"/>
    <n v="102.14"/>
    <n v="0"/>
  </r>
  <r>
    <x v="2"/>
    <x v="2"/>
    <x v="2"/>
    <x v="3"/>
    <n v="10"/>
    <n v="0"/>
    <m/>
    <x v="0"/>
    <n v="1557.1"/>
    <x v="0"/>
    <n v="140.13999999999999"/>
    <n v="155.71"/>
    <n v="0"/>
  </r>
  <r>
    <x v="2"/>
    <x v="2"/>
    <x v="2"/>
    <x v="14"/>
    <n v="20"/>
    <n v="0"/>
    <m/>
    <x v="0"/>
    <n v="2185.8000000000002"/>
    <x v="0"/>
    <n v="98.36"/>
    <n v="109.29"/>
    <n v="0"/>
  </r>
  <r>
    <x v="3"/>
    <x v="3"/>
    <x v="3"/>
    <x v="4"/>
    <n v="10"/>
    <n v="0"/>
    <m/>
    <x v="2"/>
    <n v="557.9"/>
    <x v="1"/>
    <n v="50.21"/>
    <n v="55.79"/>
    <n v="167.36999999999998"/>
  </r>
  <r>
    <x v="4"/>
    <x v="4"/>
    <x v="3"/>
    <x v="4"/>
    <n v="5"/>
    <n v="0"/>
    <m/>
    <x v="2"/>
    <n v="278.95"/>
    <x v="0"/>
    <n v="50.21"/>
    <n v="55.79"/>
    <n v="83.684999999999988"/>
  </r>
  <r>
    <x v="5"/>
    <x v="5"/>
    <x v="3"/>
    <x v="5"/>
    <n v="10"/>
    <n v="0"/>
    <m/>
    <x v="2"/>
    <n v="564.29999999999995"/>
    <x v="1"/>
    <n v="50.79"/>
    <n v="56.43"/>
    <n v="169.29"/>
  </r>
  <r>
    <x v="6"/>
    <x v="6"/>
    <x v="3"/>
    <x v="5"/>
    <n v="10"/>
    <n v="0"/>
    <m/>
    <x v="2"/>
    <n v="564.29999999999995"/>
    <x v="1"/>
    <n v="50.79"/>
    <n v="56.43"/>
    <n v="169.29"/>
  </r>
  <r>
    <x v="7"/>
    <x v="7"/>
    <x v="3"/>
    <x v="5"/>
    <n v="5"/>
    <n v="0"/>
    <m/>
    <x v="2"/>
    <n v="282.14999999999998"/>
    <x v="1"/>
    <n v="50.79"/>
    <n v="56.43"/>
    <n v="84.644999999999996"/>
  </r>
  <r>
    <x v="8"/>
    <x v="8"/>
    <x v="3"/>
    <x v="5"/>
    <n v="10"/>
    <n v="0"/>
    <m/>
    <x v="2"/>
    <n v="564.29999999999995"/>
    <x v="0"/>
    <n v="50.79"/>
    <n v="56.43"/>
    <n v="169.29"/>
  </r>
  <r>
    <x v="9"/>
    <x v="9"/>
    <x v="3"/>
    <x v="5"/>
    <n v="5"/>
    <n v="0"/>
    <m/>
    <x v="2"/>
    <n v="282.14999999999998"/>
    <x v="0"/>
    <n v="50.79"/>
    <n v="56.43"/>
    <n v="84.644999999999996"/>
  </r>
  <r>
    <x v="10"/>
    <x v="10"/>
    <x v="3"/>
    <x v="5"/>
    <n v="10"/>
    <n v="0"/>
    <m/>
    <x v="2"/>
    <n v="564.29999999999995"/>
    <x v="0"/>
    <n v="50.79"/>
    <n v="56.43"/>
    <n v="169.29"/>
  </r>
  <r>
    <x v="11"/>
    <x v="11"/>
    <x v="3"/>
    <x v="5"/>
    <n v="5"/>
    <n v="0"/>
    <m/>
    <x v="2"/>
    <n v="282.14999999999998"/>
    <x v="0"/>
    <n v="50.79"/>
    <n v="56.43"/>
    <n v="84.644999999999996"/>
  </r>
  <r>
    <x v="12"/>
    <x v="12"/>
    <x v="3"/>
    <x v="5"/>
    <n v="5"/>
    <n v="0"/>
    <m/>
    <x v="2"/>
    <n v="282.14999999999998"/>
    <x v="0"/>
    <n v="50.79"/>
    <n v="56.43"/>
    <n v="84.644999999999996"/>
  </r>
  <r>
    <x v="4"/>
    <x v="13"/>
    <x v="3"/>
    <x v="5"/>
    <n v="10"/>
    <n v="0"/>
    <m/>
    <x v="2"/>
    <n v="564.29999999999995"/>
    <x v="0"/>
    <n v="50.79"/>
    <n v="56.43"/>
    <n v="169.29"/>
  </r>
  <r>
    <x v="4"/>
    <x v="4"/>
    <x v="3"/>
    <x v="6"/>
    <n v="5"/>
    <n v="0"/>
    <m/>
    <x v="2"/>
    <n v="303.55"/>
    <x v="0"/>
    <n v="54.04"/>
    <n v="60.71"/>
    <n v="91.064999999999998"/>
  </r>
  <r>
    <x v="13"/>
    <x v="14"/>
    <x v="3"/>
    <x v="2"/>
    <n v="5"/>
    <n v="0"/>
    <m/>
    <x v="2"/>
    <n v="731.55"/>
    <x v="1"/>
    <n v="131.68"/>
    <n v="146.31"/>
    <n v="219.46499999999997"/>
  </r>
  <r>
    <x v="14"/>
    <x v="15"/>
    <x v="3"/>
    <x v="2"/>
    <n v="10"/>
    <n v="0"/>
    <m/>
    <x v="2"/>
    <n v="1463.1"/>
    <x v="0"/>
    <n v="131.68"/>
    <n v="146.31"/>
    <n v="438.92999999999995"/>
  </r>
  <r>
    <x v="15"/>
    <x v="16"/>
    <x v="3"/>
    <x v="8"/>
    <n v="10"/>
    <n v="0"/>
    <m/>
    <x v="2"/>
    <n v="1964.3"/>
    <x v="0"/>
    <n v="176.79"/>
    <n v="196.43"/>
    <n v="589.29"/>
  </r>
  <r>
    <x v="8"/>
    <x v="17"/>
    <x v="3"/>
    <x v="0"/>
    <n v="30"/>
    <n v="0"/>
    <m/>
    <x v="0"/>
    <n v="420"/>
    <x v="0"/>
    <n v="12.6"/>
    <n v="14"/>
    <n v="0"/>
  </r>
  <r>
    <x v="16"/>
    <x v="18"/>
    <x v="3"/>
    <x v="0"/>
    <n v="30"/>
    <n v="0"/>
    <m/>
    <x v="0"/>
    <n v="420"/>
    <x v="0"/>
    <n v="12.6"/>
    <n v="14"/>
    <n v="0"/>
  </r>
  <r>
    <x v="17"/>
    <x v="19"/>
    <x v="3"/>
    <x v="0"/>
    <n v="30"/>
    <n v="0"/>
    <m/>
    <x v="0"/>
    <n v="420"/>
    <x v="0"/>
    <n v="12.6"/>
    <n v="14"/>
    <n v="0"/>
  </r>
  <r>
    <x v="12"/>
    <x v="12"/>
    <x v="3"/>
    <x v="0"/>
    <n v="30"/>
    <n v="0"/>
    <m/>
    <x v="0"/>
    <n v="420"/>
    <x v="0"/>
    <n v="12.6"/>
    <n v="14"/>
    <n v="0"/>
  </r>
  <r>
    <x v="18"/>
    <x v="20"/>
    <x v="3"/>
    <x v="10"/>
    <n v="10"/>
    <n v="0"/>
    <m/>
    <x v="2"/>
    <n v="778.6"/>
    <x v="1"/>
    <n v="69.290000000000006"/>
    <n v="77.86"/>
    <n v="233.57999999999998"/>
  </r>
  <r>
    <x v="19"/>
    <x v="21"/>
    <x v="3"/>
    <x v="10"/>
    <n v="10"/>
    <n v="0"/>
    <m/>
    <x v="2"/>
    <n v="778.6"/>
    <x v="1"/>
    <n v="69.290000000000006"/>
    <n v="77.86"/>
    <n v="233.57999999999998"/>
  </r>
  <r>
    <x v="18"/>
    <x v="20"/>
    <x v="3"/>
    <x v="12"/>
    <n v="10"/>
    <n v="0"/>
    <m/>
    <x v="2"/>
    <n v="500"/>
    <x v="1"/>
    <n v="45"/>
    <n v="50"/>
    <n v="150"/>
  </r>
  <r>
    <x v="13"/>
    <x v="14"/>
    <x v="3"/>
    <x v="12"/>
    <n v="5"/>
    <n v="0"/>
    <m/>
    <x v="2"/>
    <n v="250"/>
    <x v="1"/>
    <n v="45"/>
    <n v="50"/>
    <n v="75"/>
  </r>
  <r>
    <x v="20"/>
    <x v="22"/>
    <x v="3"/>
    <x v="12"/>
    <n v="5"/>
    <n v="0"/>
    <m/>
    <x v="2"/>
    <n v="250"/>
    <x v="1"/>
    <n v="45"/>
    <n v="50"/>
    <n v="75"/>
  </r>
  <r>
    <x v="19"/>
    <x v="23"/>
    <x v="3"/>
    <x v="12"/>
    <n v="5"/>
    <n v="0"/>
    <m/>
    <x v="2"/>
    <n v="250"/>
    <x v="1"/>
    <n v="45"/>
    <n v="50"/>
    <n v="75"/>
  </r>
  <r>
    <x v="21"/>
    <x v="24"/>
    <x v="3"/>
    <x v="12"/>
    <n v="10"/>
    <n v="0"/>
    <m/>
    <x v="2"/>
    <n v="500"/>
    <x v="0"/>
    <n v="45"/>
    <n v="50"/>
    <n v="150"/>
  </r>
  <r>
    <x v="5"/>
    <x v="25"/>
    <x v="3"/>
    <x v="13"/>
    <n v="10"/>
    <n v="0"/>
    <m/>
    <x v="2"/>
    <n v="1021.4"/>
    <x v="1"/>
    <n v="92.86"/>
    <n v="102.14"/>
    <n v="306.41999999999996"/>
  </r>
  <r>
    <x v="6"/>
    <x v="6"/>
    <x v="3"/>
    <x v="13"/>
    <n v="10"/>
    <n v="0"/>
    <m/>
    <x v="2"/>
    <n v="1021.4"/>
    <x v="1"/>
    <n v="92.86"/>
    <n v="102.14"/>
    <n v="306.41999999999996"/>
  </r>
  <r>
    <x v="13"/>
    <x v="14"/>
    <x v="3"/>
    <x v="13"/>
    <n v="5"/>
    <n v="0"/>
    <m/>
    <x v="2"/>
    <n v="510.7"/>
    <x v="1"/>
    <n v="92.86"/>
    <n v="102.14"/>
    <n v="153.20999999999998"/>
  </r>
  <r>
    <x v="22"/>
    <x v="26"/>
    <x v="3"/>
    <x v="13"/>
    <n v="10"/>
    <n v="0"/>
    <m/>
    <x v="2"/>
    <n v="1021.4"/>
    <x v="0"/>
    <n v="92.86"/>
    <n v="102.14"/>
    <n v="306.41999999999996"/>
  </r>
  <r>
    <x v="0"/>
    <x v="27"/>
    <x v="3"/>
    <x v="13"/>
    <n v="10"/>
    <n v="0"/>
    <m/>
    <x v="2"/>
    <n v="1021.4"/>
    <x v="0"/>
    <n v="92.86"/>
    <n v="102.14"/>
    <n v="306.41999999999996"/>
  </r>
  <r>
    <x v="11"/>
    <x v="28"/>
    <x v="3"/>
    <x v="13"/>
    <n v="5"/>
    <n v="0"/>
    <m/>
    <x v="2"/>
    <n v="510.7"/>
    <x v="0"/>
    <n v="92.86"/>
    <n v="102.14"/>
    <n v="153.20999999999998"/>
  </r>
  <r>
    <x v="10"/>
    <x v="29"/>
    <x v="3"/>
    <x v="13"/>
    <n v="10"/>
    <n v="0"/>
    <m/>
    <x v="2"/>
    <n v="1021.4"/>
    <x v="0"/>
    <n v="92.86"/>
    <n v="102.14"/>
    <n v="306.41999999999996"/>
  </r>
  <r>
    <x v="23"/>
    <x v="30"/>
    <x v="3"/>
    <x v="13"/>
    <n v="10"/>
    <n v="0"/>
    <m/>
    <x v="2"/>
    <n v="1021.4"/>
    <x v="0"/>
    <n v="92.86"/>
    <n v="102.14"/>
    <n v="306.41999999999996"/>
  </r>
  <r>
    <x v="21"/>
    <x v="24"/>
    <x v="3"/>
    <x v="13"/>
    <n v="10"/>
    <n v="0"/>
    <m/>
    <x v="2"/>
    <n v="1021.4"/>
    <x v="0"/>
    <n v="92.86"/>
    <n v="102.14"/>
    <n v="306.41999999999996"/>
  </r>
  <r>
    <x v="24"/>
    <x v="31"/>
    <x v="3"/>
    <x v="13"/>
    <n v="10"/>
    <n v="0"/>
    <m/>
    <x v="2"/>
    <n v="1021.4"/>
    <x v="0"/>
    <n v="92.86"/>
    <n v="102.14"/>
    <n v="306.41999999999996"/>
  </r>
  <r>
    <x v="25"/>
    <x v="32"/>
    <x v="3"/>
    <x v="3"/>
    <n v="10"/>
    <n v="0"/>
    <m/>
    <x v="2"/>
    <n v="1557.1"/>
    <x v="0"/>
    <n v="140.13999999999999"/>
    <n v="155.71"/>
    <n v="467.12999999999994"/>
  </r>
  <r>
    <x v="26"/>
    <x v="33"/>
    <x v="3"/>
    <x v="3"/>
    <n v="9"/>
    <n v="0"/>
    <m/>
    <x v="2"/>
    <n v="1401.39"/>
    <x v="0"/>
    <n v="140.13999999999999"/>
    <n v="155.71"/>
    <n v="420.41700000000003"/>
  </r>
  <r>
    <x v="15"/>
    <x v="16"/>
    <x v="3"/>
    <x v="3"/>
    <n v="10"/>
    <n v="0"/>
    <m/>
    <x v="2"/>
    <n v="1557.1"/>
    <x v="0"/>
    <n v="140.13999999999999"/>
    <n v="155.71"/>
    <n v="467.12999999999994"/>
  </r>
  <r>
    <x v="1"/>
    <x v="34"/>
    <x v="3"/>
    <x v="3"/>
    <n v="9"/>
    <n v="0"/>
    <m/>
    <x v="2"/>
    <n v="1401.39"/>
    <x v="0"/>
    <n v="140.13999999999999"/>
    <n v="155.71"/>
    <n v="420.41700000000003"/>
  </r>
  <r>
    <x v="5"/>
    <x v="25"/>
    <x v="3"/>
    <x v="14"/>
    <n v="10"/>
    <n v="0"/>
    <m/>
    <x v="2"/>
    <n v="1092.9000000000001"/>
    <x v="1"/>
    <n v="98.36"/>
    <n v="109.29"/>
    <n v="327.87"/>
  </r>
  <r>
    <x v="27"/>
    <x v="35"/>
    <x v="3"/>
    <x v="14"/>
    <n v="10"/>
    <n v="0"/>
    <m/>
    <x v="2"/>
    <n v="1092.9000000000001"/>
    <x v="1"/>
    <n v="98.36"/>
    <n v="109.29"/>
    <n v="327.87"/>
  </r>
  <r>
    <x v="20"/>
    <x v="22"/>
    <x v="3"/>
    <x v="14"/>
    <n v="5"/>
    <n v="0"/>
    <m/>
    <x v="2"/>
    <n v="546.45000000000005"/>
    <x v="1"/>
    <n v="98.36"/>
    <n v="109.29"/>
    <n v="163.935"/>
  </r>
  <r>
    <x v="28"/>
    <x v="36"/>
    <x v="3"/>
    <x v="14"/>
    <n v="5"/>
    <n v="0"/>
    <m/>
    <x v="2"/>
    <n v="546.45000000000005"/>
    <x v="1"/>
    <n v="98.36"/>
    <n v="109.29"/>
    <n v="163.935"/>
  </r>
  <r>
    <x v="29"/>
    <x v="37"/>
    <x v="3"/>
    <x v="14"/>
    <n v="10"/>
    <n v="0"/>
    <m/>
    <x v="2"/>
    <n v="1092.9000000000001"/>
    <x v="0"/>
    <n v="98.36"/>
    <n v="109.29"/>
    <n v="327.87"/>
  </r>
  <r>
    <x v="4"/>
    <x v="13"/>
    <x v="3"/>
    <x v="14"/>
    <n v="10"/>
    <n v="0"/>
    <m/>
    <x v="2"/>
    <n v="1092.9000000000001"/>
    <x v="0"/>
    <n v="98.36"/>
    <n v="109.29"/>
    <n v="327.87"/>
  </r>
  <r>
    <x v="30"/>
    <x v="38"/>
    <x v="3"/>
    <x v="14"/>
    <n v="10"/>
    <n v="0"/>
    <m/>
    <x v="2"/>
    <n v="1092.9000000000001"/>
    <x v="0"/>
    <n v="98.36"/>
    <n v="109.29"/>
    <n v="327.87"/>
  </r>
  <r>
    <x v="31"/>
    <x v="39"/>
    <x v="3"/>
    <x v="14"/>
    <n v="10"/>
    <n v="0"/>
    <m/>
    <x v="2"/>
    <n v="1092.9000000000001"/>
    <x v="0"/>
    <n v="98.36"/>
    <n v="109.29"/>
    <n v="327.87"/>
  </r>
  <r>
    <x v="14"/>
    <x v="40"/>
    <x v="3"/>
    <x v="14"/>
    <n v="10"/>
    <n v="0"/>
    <m/>
    <x v="2"/>
    <n v="1092.9000000000001"/>
    <x v="0"/>
    <n v="98.36"/>
    <n v="109.29"/>
    <n v="327.87"/>
  </r>
  <r>
    <x v="32"/>
    <x v="41"/>
    <x v="4"/>
    <x v="0"/>
    <n v="50"/>
    <m/>
    <n v="9"/>
    <x v="0"/>
    <n v="450"/>
    <x v="2"/>
    <n v="12.6"/>
    <n v="14"/>
    <n v="0"/>
  </r>
  <r>
    <x v="33"/>
    <x v="42"/>
    <x v="5"/>
    <x v="8"/>
    <n v="200"/>
    <m/>
    <n v="22.32"/>
    <x v="3"/>
    <n v="4464"/>
    <x v="2"/>
    <n v="176.79"/>
    <n v="196.43"/>
    <n v="1339.2"/>
  </r>
  <r>
    <x v="33"/>
    <x v="42"/>
    <x v="5"/>
    <x v="15"/>
    <n v="200"/>
    <m/>
    <n v="8.83"/>
    <x v="3"/>
    <n v="1766"/>
    <x v="2"/>
    <n v="57.86"/>
    <n v="64.290000000000006"/>
    <n v="529.79999999999995"/>
  </r>
  <r>
    <x v="33"/>
    <x v="42"/>
    <x v="5"/>
    <x v="16"/>
    <n v="10"/>
    <m/>
    <n v="83.35"/>
    <x v="0"/>
    <n v="833.5"/>
    <x v="2"/>
    <m/>
    <m/>
    <n v="0"/>
  </r>
  <r>
    <x v="32"/>
    <x v="43"/>
    <x v="6"/>
    <x v="0"/>
    <n v="100"/>
    <m/>
    <n v="11.4"/>
    <x v="0"/>
    <n v="1140"/>
    <x v="2"/>
    <n v="12.6"/>
    <n v="14"/>
    <n v="0"/>
  </r>
  <r>
    <x v="34"/>
    <x v="44"/>
    <x v="3"/>
    <x v="5"/>
    <n v="5"/>
    <m/>
    <n v="56.43"/>
    <x v="2"/>
    <n v="282.14999999999998"/>
    <x v="2"/>
    <n v="50.79"/>
    <n v="56.43"/>
    <n v="84.644999999999996"/>
  </r>
  <r>
    <x v="35"/>
    <x v="45"/>
    <x v="3"/>
    <x v="5"/>
    <n v="6"/>
    <m/>
    <n v="56.43"/>
    <x v="2"/>
    <n v="338.58"/>
    <x v="2"/>
    <n v="50.79"/>
    <n v="56.43"/>
    <n v="101.574"/>
  </r>
  <r>
    <x v="36"/>
    <x v="46"/>
    <x v="3"/>
    <x v="0"/>
    <n v="30"/>
    <m/>
    <n v="14"/>
    <x v="0"/>
    <n v="420"/>
    <x v="2"/>
    <n v="12.6"/>
    <n v="14"/>
    <n v="0"/>
  </r>
  <r>
    <x v="37"/>
    <x v="47"/>
    <x v="3"/>
    <x v="0"/>
    <n v="30"/>
    <m/>
    <n v="14"/>
    <x v="0"/>
    <n v="420"/>
    <x v="2"/>
    <n v="12.6"/>
    <n v="14"/>
    <n v="0"/>
  </r>
  <r>
    <x v="38"/>
    <x v="48"/>
    <x v="3"/>
    <x v="0"/>
    <n v="30"/>
    <m/>
    <n v="14"/>
    <x v="0"/>
    <n v="420"/>
    <x v="2"/>
    <n v="12.6"/>
    <n v="14"/>
    <n v="0"/>
  </r>
  <r>
    <x v="39"/>
    <x v="49"/>
    <x v="3"/>
    <x v="0"/>
    <n v="30"/>
    <m/>
    <n v="14"/>
    <x v="0"/>
    <n v="420"/>
    <x v="2"/>
    <n v="12.6"/>
    <n v="14"/>
    <n v="0"/>
  </r>
  <r>
    <x v="40"/>
    <x v="50"/>
    <x v="3"/>
    <x v="0"/>
    <n v="40"/>
    <m/>
    <n v="14"/>
    <x v="0"/>
    <n v="560"/>
    <x v="2"/>
    <n v="12.6"/>
    <n v="14"/>
    <n v="0"/>
  </r>
  <r>
    <x v="41"/>
    <x v="51"/>
    <x v="3"/>
    <x v="0"/>
    <n v="30"/>
    <m/>
    <n v="14"/>
    <x v="0"/>
    <n v="420"/>
    <x v="2"/>
    <n v="12.6"/>
    <n v="14"/>
    <n v="0"/>
  </r>
  <r>
    <x v="42"/>
    <x v="52"/>
    <x v="3"/>
    <x v="0"/>
    <n v="30"/>
    <m/>
    <n v="14"/>
    <x v="0"/>
    <n v="420"/>
    <x v="2"/>
    <n v="12.6"/>
    <n v="14"/>
    <n v="0"/>
  </r>
  <r>
    <x v="34"/>
    <x v="44"/>
    <x v="3"/>
    <x v="0"/>
    <n v="30"/>
    <m/>
    <n v="14"/>
    <x v="0"/>
    <n v="420"/>
    <x v="2"/>
    <n v="12.6"/>
    <n v="14"/>
    <n v="0"/>
  </r>
  <r>
    <x v="43"/>
    <x v="53"/>
    <x v="3"/>
    <x v="0"/>
    <n v="30"/>
    <m/>
    <n v="14"/>
    <x v="0"/>
    <n v="420"/>
    <x v="2"/>
    <n v="12.6"/>
    <n v="14"/>
    <n v="0"/>
  </r>
  <r>
    <x v="44"/>
    <x v="54"/>
    <x v="3"/>
    <x v="0"/>
    <n v="30"/>
    <m/>
    <n v="14"/>
    <x v="0"/>
    <n v="420"/>
    <x v="2"/>
    <n v="12.6"/>
    <n v="14"/>
    <n v="0"/>
  </r>
  <r>
    <x v="45"/>
    <x v="55"/>
    <x v="3"/>
    <x v="3"/>
    <n v="6"/>
    <m/>
    <n v="155.71"/>
    <x v="2"/>
    <n v="934.26"/>
    <x v="2"/>
    <n v="140.13999999999999"/>
    <n v="155.71"/>
    <n v="280.27799999999996"/>
  </r>
  <r>
    <x v="35"/>
    <x v="45"/>
    <x v="3"/>
    <x v="3"/>
    <n v="6"/>
    <m/>
    <n v="155.71"/>
    <x v="2"/>
    <n v="934.26"/>
    <x v="2"/>
    <n v="140.13999999999999"/>
    <n v="155.71"/>
    <n v="280.27799999999996"/>
  </r>
  <r>
    <x v="43"/>
    <x v="53"/>
    <x v="3"/>
    <x v="3"/>
    <n v="6"/>
    <m/>
    <n v="155.71"/>
    <x v="2"/>
    <n v="934.26"/>
    <x v="2"/>
    <n v="140.13999999999999"/>
    <n v="155.71"/>
    <n v="280.27799999999996"/>
  </r>
  <r>
    <x v="46"/>
    <x v="56"/>
    <x v="7"/>
    <x v="2"/>
    <n v="5"/>
    <n v="1"/>
    <n v="146.31"/>
    <x v="4"/>
    <n v="731.55"/>
    <x v="2"/>
    <n v="131.68"/>
    <n v="146.31"/>
    <n v="219.46499999999997"/>
  </r>
  <r>
    <x v="46"/>
    <x v="56"/>
    <x v="7"/>
    <x v="13"/>
    <n v="5"/>
    <n v="1"/>
    <n v="102.14"/>
    <x v="4"/>
    <n v="510.7"/>
    <x v="2"/>
    <n v="92.86"/>
    <n v="102.14"/>
    <n v="153.20999999999998"/>
  </r>
  <r>
    <x v="47"/>
    <x v="57"/>
    <x v="8"/>
    <x v="7"/>
    <n v="5"/>
    <n v="1"/>
    <n v="171.43"/>
    <x v="5"/>
    <n v="857.15"/>
    <x v="2"/>
    <n v="154.29"/>
    <n v="171.43"/>
    <n v="257.14499999999998"/>
  </r>
  <r>
    <x v="48"/>
    <x v="58"/>
    <x v="9"/>
    <x v="17"/>
    <n v="10"/>
    <n v="2"/>
    <n v="150"/>
    <x v="6"/>
    <n v="1500"/>
    <x v="2"/>
    <n v="135"/>
    <n v="150"/>
    <n v="450"/>
  </r>
  <r>
    <x v="46"/>
    <x v="59"/>
    <x v="10"/>
    <x v="2"/>
    <n v="10"/>
    <n v="2"/>
    <n v="146.31"/>
    <x v="7"/>
    <n v="1463.1"/>
    <x v="2"/>
    <n v="131.68"/>
    <n v="146.31"/>
    <n v="438.92999999999995"/>
  </r>
  <r>
    <x v="46"/>
    <x v="59"/>
    <x v="10"/>
    <x v="13"/>
    <n v="10"/>
    <n v="2"/>
    <n v="102.14"/>
    <x v="7"/>
    <n v="1021.4"/>
    <x v="2"/>
    <n v="92.86"/>
    <n v="102.14"/>
    <n v="306.41999999999996"/>
  </r>
  <r>
    <x v="49"/>
    <x v="60"/>
    <x v="11"/>
    <x v="18"/>
    <n v="5"/>
    <n v="1"/>
    <n v="142.86000000000001"/>
    <x v="8"/>
    <n v="714.3"/>
    <x v="2"/>
    <n v="128.57142857142901"/>
    <n v="142.86000000000001"/>
    <n v="214.29"/>
  </r>
  <r>
    <x v="50"/>
    <x v="61"/>
    <x v="12"/>
    <x v="0"/>
    <n v="6"/>
    <n v="0"/>
    <n v="15.12"/>
    <x v="0"/>
    <n v="90.72"/>
    <x v="2"/>
    <n v="12.6"/>
    <n v="14"/>
    <n v="0"/>
  </r>
  <r>
    <x v="51"/>
    <x v="62"/>
    <x v="13"/>
    <x v="7"/>
    <n v="10"/>
    <n v="2"/>
    <n v="171.43"/>
    <x v="9"/>
    <n v="1714.3"/>
    <x v="2"/>
    <n v="154.29"/>
    <n v="171.43"/>
    <n v="514.29"/>
  </r>
  <r>
    <x v="51"/>
    <x v="62"/>
    <x v="13"/>
    <x v="2"/>
    <n v="10"/>
    <n v="2"/>
    <n v="146.31"/>
    <x v="9"/>
    <n v="1463.1"/>
    <x v="2"/>
    <n v="131.68"/>
    <n v="146.31"/>
    <n v="438.92999999999995"/>
  </r>
  <r>
    <x v="46"/>
    <x v="63"/>
    <x v="14"/>
    <x v="7"/>
    <n v="5"/>
    <n v="1"/>
    <n v="171.43"/>
    <x v="10"/>
    <n v="857.15"/>
    <x v="2"/>
    <n v="154.29"/>
    <n v="171.43"/>
    <n v="257.14499999999998"/>
  </r>
  <r>
    <x v="46"/>
    <x v="63"/>
    <x v="14"/>
    <x v="2"/>
    <n v="5"/>
    <n v="1"/>
    <n v="146.31"/>
    <x v="10"/>
    <n v="731.55"/>
    <x v="2"/>
    <n v="131.68"/>
    <n v="146.31"/>
    <n v="219.46499999999997"/>
  </r>
  <r>
    <x v="42"/>
    <x v="64"/>
    <x v="14"/>
    <x v="8"/>
    <n v="5"/>
    <n v="1"/>
    <n v="196.43"/>
    <x v="10"/>
    <n v="982.15"/>
    <x v="2"/>
    <n v="176.79"/>
    <n v="196.43"/>
    <n v="294.64499999999998"/>
  </r>
  <r>
    <x v="42"/>
    <x v="64"/>
    <x v="14"/>
    <x v="19"/>
    <n v="5"/>
    <n v="1"/>
    <n v="192.86"/>
    <x v="10"/>
    <n v="964.3"/>
    <x v="2"/>
    <n v="173.57"/>
    <n v="192.86"/>
    <n v="289.28999999999996"/>
  </r>
  <r>
    <x v="46"/>
    <x v="63"/>
    <x v="14"/>
    <x v="13"/>
    <n v="5"/>
    <n v="1"/>
    <n v="102.14"/>
    <x v="10"/>
    <n v="510.7"/>
    <x v="2"/>
    <n v="92.86"/>
    <n v="102.14"/>
    <n v="153.20999999999998"/>
  </r>
  <r>
    <x v="42"/>
    <x v="64"/>
    <x v="14"/>
    <x v="17"/>
    <n v="5"/>
    <n v="1"/>
    <n v="150"/>
    <x v="10"/>
    <n v="750"/>
    <x v="2"/>
    <n v="135"/>
    <n v="150"/>
    <n v="225"/>
  </r>
  <r>
    <x v="51"/>
    <x v="65"/>
    <x v="15"/>
    <x v="7"/>
    <n v="2"/>
    <n v="0"/>
    <n v="171.43"/>
    <x v="11"/>
    <n v="342.86"/>
    <x v="2"/>
    <n v="154.29"/>
    <n v="171.43"/>
    <n v="102.858"/>
  </r>
  <r>
    <x v="51"/>
    <x v="65"/>
    <x v="15"/>
    <x v="2"/>
    <n v="10"/>
    <n v="1"/>
    <n v="146.31"/>
    <x v="11"/>
    <n v="1463.1"/>
    <x v="2"/>
    <n v="131.68"/>
    <n v="146.31"/>
    <n v="438.92999999999995"/>
  </r>
  <r>
    <x v="48"/>
    <x v="66"/>
    <x v="16"/>
    <x v="7"/>
    <n v="20"/>
    <n v="4"/>
    <n v="171.43"/>
    <x v="12"/>
    <n v="3428.6"/>
    <x v="2"/>
    <n v="154.29"/>
    <n v="171.43"/>
    <n v="1028.58"/>
  </r>
  <r>
    <x v="46"/>
    <x v="67"/>
    <x v="17"/>
    <x v="3"/>
    <n v="10"/>
    <n v="1"/>
    <n v="155.74"/>
    <x v="13"/>
    <n v="1557.4"/>
    <x v="2"/>
    <n v="140.13999999999999"/>
    <n v="155.71"/>
    <n v="467.22"/>
  </r>
  <r>
    <x v="52"/>
    <x v="68"/>
    <x v="18"/>
    <x v="0"/>
    <n v="9"/>
    <n v="0"/>
    <n v="15.12"/>
    <x v="0"/>
    <n v="136.08000000000001"/>
    <x v="2"/>
    <n v="12.6"/>
    <n v="14"/>
    <n v="0"/>
  </r>
  <r>
    <x v="50"/>
    <x v="69"/>
    <x v="18"/>
    <x v="0"/>
    <n v="10"/>
    <n v="0"/>
    <n v="15.12"/>
    <x v="0"/>
    <n v="151.19999999999999"/>
    <x v="2"/>
    <n v="12.6"/>
    <n v="14"/>
    <n v="0"/>
  </r>
  <r>
    <x v="53"/>
    <x v="70"/>
    <x v="18"/>
    <x v="0"/>
    <n v="5"/>
    <n v="0"/>
    <n v="15.12"/>
    <x v="0"/>
    <n v="75.599999999999994"/>
    <x v="2"/>
    <n v="12.6"/>
    <n v="14"/>
    <n v="0"/>
  </r>
  <r>
    <x v="47"/>
    <x v="71"/>
    <x v="18"/>
    <x v="0"/>
    <n v="10"/>
    <n v="0"/>
    <n v="15.12"/>
    <x v="0"/>
    <n v="151.19999999999999"/>
    <x v="2"/>
    <n v="12.6"/>
    <n v="14"/>
    <n v="0"/>
  </r>
  <r>
    <x v="54"/>
    <x v="72"/>
    <x v="18"/>
    <x v="0"/>
    <n v="5"/>
    <n v="0"/>
    <n v="15.12"/>
    <x v="0"/>
    <n v="75.599999999999994"/>
    <x v="2"/>
    <n v="12.6"/>
    <n v="14"/>
    <n v="0"/>
  </r>
  <r>
    <x v="45"/>
    <x v="73"/>
    <x v="18"/>
    <x v="0"/>
    <n v="5"/>
    <n v="0"/>
    <n v="15.12"/>
    <x v="0"/>
    <n v="75.599999999999994"/>
    <x v="2"/>
    <n v="12.6"/>
    <n v="14"/>
    <n v="0"/>
  </r>
  <r>
    <x v="46"/>
    <x v="74"/>
    <x v="19"/>
    <x v="2"/>
    <n v="10"/>
    <n v="2"/>
    <n v="146.31"/>
    <x v="14"/>
    <n v="1463.1"/>
    <x v="2"/>
    <n v="131.68"/>
    <n v="146.31"/>
    <n v="438.92999999999995"/>
  </r>
  <r>
    <x v="32"/>
    <x v="75"/>
    <x v="20"/>
    <x v="7"/>
    <n v="10"/>
    <n v="2"/>
    <n v="171.43"/>
    <x v="15"/>
    <n v="1714.3"/>
    <x v="2"/>
    <n v="154.29"/>
    <n v="171.43"/>
    <n v="514.29"/>
  </r>
  <r>
    <x v="32"/>
    <x v="75"/>
    <x v="20"/>
    <x v="2"/>
    <n v="10"/>
    <n v="2"/>
    <n v="146.31"/>
    <x v="15"/>
    <n v="1463.1"/>
    <x v="2"/>
    <n v="131.68"/>
    <n v="146.31"/>
    <n v="438.92999999999995"/>
  </r>
  <r>
    <x v="36"/>
    <x v="76"/>
    <x v="3"/>
    <x v="5"/>
    <n v="10"/>
    <n v="0"/>
    <n v="60.94"/>
    <x v="2"/>
    <n v="609.4"/>
    <x v="2"/>
    <n v="50.79"/>
    <n v="56.43"/>
    <n v="182.82"/>
  </r>
  <r>
    <x v="51"/>
    <x v="77"/>
    <x v="3"/>
    <x v="5"/>
    <n v="10"/>
    <n v="0"/>
    <n v="60.94"/>
    <x v="2"/>
    <n v="609.4"/>
    <x v="2"/>
    <n v="50.79"/>
    <n v="56.43"/>
    <n v="182.82"/>
  </r>
  <r>
    <x v="35"/>
    <x v="78"/>
    <x v="3"/>
    <x v="12"/>
    <n v="10"/>
    <n v="0"/>
    <n v="50"/>
    <x v="2"/>
    <n v="500"/>
    <x v="2"/>
    <n v="45"/>
    <n v="50"/>
    <n v="150"/>
  </r>
  <r>
    <x v="49"/>
    <x v="79"/>
    <x v="3"/>
    <x v="12"/>
    <n v="10"/>
    <n v="1"/>
    <n v="50"/>
    <x v="2"/>
    <n v="500"/>
    <x v="2"/>
    <n v="45"/>
    <n v="50"/>
    <n v="150"/>
  </r>
  <r>
    <x v="49"/>
    <x v="78"/>
    <x v="3"/>
    <x v="13"/>
    <n v="10"/>
    <n v="0"/>
    <n v="102.14"/>
    <x v="2"/>
    <n v="1021.4"/>
    <x v="2"/>
    <n v="92.86"/>
    <n v="102.14"/>
    <n v="306.41999999999996"/>
  </r>
  <r>
    <x v="54"/>
    <x v="80"/>
    <x v="3"/>
    <x v="13"/>
    <n v="10"/>
    <n v="1"/>
    <n v="102.14"/>
    <x v="2"/>
    <n v="1021.4"/>
    <x v="2"/>
    <n v="92.86"/>
    <n v="102.14"/>
    <n v="306.41999999999996"/>
  </r>
  <r>
    <x v="53"/>
    <x v="81"/>
    <x v="3"/>
    <x v="13"/>
    <n v="10"/>
    <n v="1"/>
    <n v="102.14"/>
    <x v="2"/>
    <n v="1021.4"/>
    <x v="2"/>
    <n v="92.86"/>
    <n v="102.14"/>
    <n v="306.41999999999996"/>
  </r>
  <r>
    <x v="48"/>
    <x v="82"/>
    <x v="3"/>
    <x v="13"/>
    <n v="10"/>
    <n v="0"/>
    <n v="102.14"/>
    <x v="2"/>
    <n v="1021.4"/>
    <x v="2"/>
    <n v="92.86"/>
    <n v="102.14"/>
    <n v="306.41999999999996"/>
  </r>
  <r>
    <x v="55"/>
    <x v="83"/>
    <x v="3"/>
    <x v="13"/>
    <n v="5"/>
    <n v="0"/>
    <n v="102.14"/>
    <x v="2"/>
    <n v="510.7"/>
    <x v="2"/>
    <n v="92.86"/>
    <n v="102.14"/>
    <n v="153.20999999999998"/>
  </r>
  <r>
    <x v="51"/>
    <x v="77"/>
    <x v="3"/>
    <x v="13"/>
    <n v="5"/>
    <n v="0"/>
    <n v="102.14"/>
    <x v="2"/>
    <n v="510.7"/>
    <x v="2"/>
    <n v="92.86"/>
    <n v="102.14"/>
    <n v="153.20999999999998"/>
  </r>
  <r>
    <x v="48"/>
    <x v="82"/>
    <x v="3"/>
    <x v="13"/>
    <n v="1"/>
    <n v="0"/>
    <n v="1"/>
    <x v="2"/>
    <n v="1"/>
    <x v="2"/>
    <n v="92.86"/>
    <n v="102.14"/>
    <n v="0.3"/>
  </r>
  <r>
    <x v="46"/>
    <x v="84"/>
    <x v="3"/>
    <x v="13"/>
    <n v="10"/>
    <n v="1"/>
    <n v="102.14"/>
    <x v="2"/>
    <n v="1021.4"/>
    <x v="2"/>
    <n v="92.86"/>
    <n v="102.14"/>
    <n v="306.41999999999996"/>
  </r>
  <r>
    <x v="40"/>
    <x v="85"/>
    <x v="3"/>
    <x v="13"/>
    <n v="10"/>
    <n v="1"/>
    <n v="102.14"/>
    <x v="2"/>
    <n v="1021.4"/>
    <x v="2"/>
    <n v="92.86"/>
    <n v="102.14"/>
    <n v="306.41999999999996"/>
  </r>
  <r>
    <x v="45"/>
    <x v="86"/>
    <x v="3"/>
    <x v="3"/>
    <n v="3"/>
    <n v="0"/>
    <n v="155.71"/>
    <x v="2"/>
    <n v="467.13"/>
    <x v="2"/>
    <n v="140.13999999999999"/>
    <n v="155.71"/>
    <n v="140.13899999999998"/>
  </r>
  <r>
    <x v="40"/>
    <x v="87"/>
    <x v="3"/>
    <x v="3"/>
    <n v="4"/>
    <n v="0"/>
    <n v="155.71"/>
    <x v="2"/>
    <n v="622.84"/>
    <x v="2"/>
    <n v="140.13999999999999"/>
    <n v="155.71"/>
    <n v="186.852"/>
  </r>
  <r>
    <x v="32"/>
    <x v="88"/>
    <x v="3"/>
    <x v="3"/>
    <n v="6"/>
    <n v="0"/>
    <n v="155.71"/>
    <x v="2"/>
    <n v="934.26"/>
    <x v="2"/>
    <n v="140.13999999999999"/>
    <n v="155.71"/>
    <n v="280.27799999999996"/>
  </r>
  <r>
    <x v="46"/>
    <x v="89"/>
    <x v="21"/>
    <x v="20"/>
    <n v="3"/>
    <n v="0"/>
    <n v="157.13999999999999"/>
    <x v="16"/>
    <n v="471.42"/>
    <x v="2"/>
    <n v="141.43"/>
    <n v="157.13999999999999"/>
    <n v="141.42599999999999"/>
  </r>
  <r>
    <x v="51"/>
    <x v="90"/>
    <x v="22"/>
    <x v="7"/>
    <n v="10"/>
    <n v="2"/>
    <n v="171.43"/>
    <x v="17"/>
    <n v="1714.3"/>
    <x v="2"/>
    <n v="154.29"/>
    <n v="171.43"/>
    <n v="514.29"/>
  </r>
  <r>
    <x v="51"/>
    <x v="90"/>
    <x v="22"/>
    <x v="13"/>
    <n v="10"/>
    <n v="2"/>
    <n v="102.14"/>
    <x v="17"/>
    <n v="1021.4"/>
    <x v="2"/>
    <n v="92.86"/>
    <n v="102.14"/>
    <n v="306.41999999999996"/>
  </r>
  <r>
    <x v="41"/>
    <x v="91"/>
    <x v="23"/>
    <x v="7"/>
    <n v="5"/>
    <n v="1"/>
    <n v="171.43"/>
    <x v="18"/>
    <n v="857.15"/>
    <x v="2"/>
    <n v="154.29"/>
    <n v="171.43"/>
    <n v="257.14499999999998"/>
  </r>
  <r>
    <x v="32"/>
    <x v="92"/>
    <x v="23"/>
    <x v="13"/>
    <n v="5"/>
    <n v="1"/>
    <n v="102.14"/>
    <x v="18"/>
    <n v="510.7"/>
    <x v="2"/>
    <n v="92.86"/>
    <n v="102.14"/>
    <n v="153.20999999999998"/>
  </r>
  <r>
    <x v="56"/>
    <x v="93"/>
    <x v="24"/>
    <x v="2"/>
    <n v="50"/>
    <n v="0"/>
    <n v="55"/>
    <x v="0"/>
    <n v="2750"/>
    <x v="3"/>
    <n v="131.68"/>
    <n v="146.31"/>
    <n v="0"/>
  </r>
  <r>
    <x v="56"/>
    <x v="93"/>
    <x v="24"/>
    <x v="9"/>
    <n v="100"/>
    <n v="0"/>
    <n v="9"/>
    <x v="0"/>
    <n v="900"/>
    <x v="3"/>
    <n v="57.86"/>
    <n v="64.290000000000006"/>
    <n v="0"/>
  </r>
  <r>
    <x v="57"/>
    <x v="94"/>
    <x v="25"/>
    <x v="0"/>
    <n v="50"/>
    <n v="0"/>
    <n v="11"/>
    <x v="0"/>
    <n v="550"/>
    <x v="3"/>
    <n v="12.6"/>
    <n v="14"/>
    <n v="0"/>
  </r>
  <r>
    <x v="57"/>
    <x v="95"/>
    <x v="26"/>
    <x v="20"/>
    <n v="5"/>
    <n v="0"/>
    <n v="157.13999999999999"/>
    <x v="19"/>
    <n v="785.7"/>
    <x v="3"/>
    <n v="141.43"/>
    <n v="157.13999999999999"/>
    <n v="235.71"/>
  </r>
  <r>
    <x v="57"/>
    <x v="95"/>
    <x v="26"/>
    <x v="3"/>
    <n v="5"/>
    <n v="0"/>
    <n v="155.71"/>
    <x v="19"/>
    <n v="778.55"/>
    <x v="3"/>
    <n v="140.13999999999999"/>
    <n v="155.71"/>
    <n v="233.56499999999997"/>
  </r>
  <r>
    <x v="57"/>
    <x v="96"/>
    <x v="27"/>
    <x v="21"/>
    <n v="100"/>
    <n v="0"/>
    <n v="195"/>
    <x v="0"/>
    <n v="19500"/>
    <x v="3"/>
    <m/>
    <m/>
    <n v="0"/>
  </r>
  <r>
    <x v="58"/>
    <x v="97"/>
    <x v="28"/>
    <x v="17"/>
    <n v="50"/>
    <n v="0"/>
    <n v="65"/>
    <x v="0"/>
    <n v="3250"/>
    <x v="3"/>
    <n v="135"/>
    <n v="150"/>
    <n v="0"/>
  </r>
  <r>
    <x v="59"/>
    <x v="98"/>
    <x v="29"/>
    <x v="5"/>
    <n v="30"/>
    <n v="3"/>
    <n v="56.43"/>
    <x v="0"/>
    <n v="1692.9"/>
    <x v="3"/>
    <n v="50.79"/>
    <n v="56.43"/>
    <n v="0"/>
  </r>
  <r>
    <x v="57"/>
    <x v="99"/>
    <x v="29"/>
    <x v="22"/>
    <n v="100"/>
    <n v="0"/>
    <n v="164.8"/>
    <x v="0"/>
    <n v="16480"/>
    <x v="3"/>
    <n v="185.5"/>
    <n v="206.25"/>
    <n v="0"/>
  </r>
  <r>
    <x v="59"/>
    <x v="98"/>
    <x v="29"/>
    <x v="11"/>
    <n v="11"/>
    <n v="0"/>
    <n v="361.43"/>
    <x v="0"/>
    <n v="3975.73"/>
    <x v="3"/>
    <n v="325.28571428571399"/>
    <n v="361.43"/>
    <n v="0"/>
  </r>
  <r>
    <x v="58"/>
    <x v="100"/>
    <x v="29"/>
    <x v="11"/>
    <n v="11"/>
    <n v="0"/>
    <n v="361.43"/>
    <x v="0"/>
    <n v="3975.73"/>
    <x v="3"/>
    <n v="325.28571428571399"/>
    <n v="361.43"/>
    <n v="0"/>
  </r>
  <r>
    <x v="59"/>
    <x v="98"/>
    <x v="29"/>
    <x v="18"/>
    <n v="10"/>
    <n v="1"/>
    <n v="142.86000000000001"/>
    <x v="0"/>
    <n v="1428.6"/>
    <x v="3"/>
    <n v="128.57142857142901"/>
    <n v="142.86000000000001"/>
    <n v="0"/>
  </r>
  <r>
    <x v="58"/>
    <x v="100"/>
    <x v="29"/>
    <x v="23"/>
    <n v="20"/>
    <n v="2"/>
    <n v="107.14"/>
    <x v="0"/>
    <n v="2142.8000000000002"/>
    <x v="3"/>
    <m/>
    <m/>
    <n v="0"/>
  </r>
  <r>
    <x v="58"/>
    <x v="100"/>
    <x v="29"/>
    <x v="13"/>
    <n v="18"/>
    <n v="0"/>
    <n v="102.14"/>
    <x v="0"/>
    <n v="1838.52"/>
    <x v="3"/>
    <n v="92.86"/>
    <n v="102.14"/>
    <n v="0"/>
  </r>
  <r>
    <x v="59"/>
    <x v="98"/>
    <x v="29"/>
    <x v="13"/>
    <n v="20"/>
    <n v="2"/>
    <n v="102.14"/>
    <x v="0"/>
    <n v="2042.8"/>
    <x v="3"/>
    <n v="92.86"/>
    <n v="102.14"/>
    <n v="0"/>
  </r>
  <r>
    <x v="58"/>
    <x v="100"/>
    <x v="29"/>
    <x v="20"/>
    <n v="10"/>
    <n v="1"/>
    <n v="157.13999999999999"/>
    <x v="0"/>
    <n v="1571.4"/>
    <x v="3"/>
    <n v="141.43"/>
    <n v="157.13999999999999"/>
    <n v="0"/>
  </r>
  <r>
    <x v="60"/>
    <x v="101"/>
    <x v="30"/>
    <x v="0"/>
    <n v="30"/>
    <n v="0"/>
    <n v="14"/>
    <x v="2"/>
    <n v="420"/>
    <x v="3"/>
    <n v="12.6"/>
    <n v="14"/>
    <n v="0"/>
  </r>
  <r>
    <x v="61"/>
    <x v="102"/>
    <x v="30"/>
    <x v="0"/>
    <n v="30"/>
    <n v="0"/>
    <n v="14"/>
    <x v="2"/>
    <n v="420"/>
    <x v="3"/>
    <n v="12.6"/>
    <n v="14"/>
    <n v="0"/>
  </r>
  <r>
    <x v="62"/>
    <x v="103"/>
    <x v="30"/>
    <x v="0"/>
    <n v="30"/>
    <n v="0"/>
    <n v="14"/>
    <x v="2"/>
    <n v="420"/>
    <x v="3"/>
    <n v="12.6"/>
    <n v="14"/>
    <n v="0"/>
  </r>
  <r>
    <x v="63"/>
    <x v="104"/>
    <x v="30"/>
    <x v="0"/>
    <n v="30"/>
    <n v="0"/>
    <n v="14"/>
    <x v="2"/>
    <n v="420"/>
    <x v="3"/>
    <n v="12.6"/>
    <n v="14"/>
    <n v="0"/>
  </r>
  <r>
    <x v="64"/>
    <x v="105"/>
    <x v="30"/>
    <x v="0"/>
    <n v="30"/>
    <n v="0"/>
    <n v="14"/>
    <x v="2"/>
    <n v="420"/>
    <x v="3"/>
    <n v="12.6"/>
    <n v="14"/>
    <n v="0"/>
  </r>
  <r>
    <x v="65"/>
    <x v="106"/>
    <x v="30"/>
    <x v="0"/>
    <n v="30"/>
    <n v="0"/>
    <n v="14"/>
    <x v="2"/>
    <n v="420"/>
    <x v="3"/>
    <n v="12.6"/>
    <n v="14"/>
    <n v="0"/>
  </r>
  <r>
    <x v="66"/>
    <x v="107"/>
    <x v="30"/>
    <x v="0"/>
    <n v="30"/>
    <n v="0"/>
    <n v="14"/>
    <x v="2"/>
    <n v="420"/>
    <x v="3"/>
    <n v="12.6"/>
    <n v="14"/>
    <n v="0"/>
  </r>
  <r>
    <x v="67"/>
    <x v="108"/>
    <x v="30"/>
    <x v="0"/>
    <n v="30"/>
    <n v="0"/>
    <n v="14"/>
    <x v="2"/>
    <n v="420"/>
    <x v="3"/>
    <n v="12.6"/>
    <n v="14"/>
    <n v="0"/>
  </r>
  <r>
    <x v="68"/>
    <x v="109"/>
    <x v="30"/>
    <x v="0"/>
    <n v="30"/>
    <n v="0"/>
    <n v="14"/>
    <x v="2"/>
    <n v="420"/>
    <x v="3"/>
    <n v="12.6"/>
    <n v="14"/>
    <n v="0"/>
  </r>
  <r>
    <x v="69"/>
    <x v="110"/>
    <x v="30"/>
    <x v="0"/>
    <n v="30"/>
    <n v="0"/>
    <n v="14"/>
    <x v="2"/>
    <n v="420"/>
    <x v="3"/>
    <n v="12.6"/>
    <n v="14"/>
    <n v="0"/>
  </r>
  <r>
    <x v="70"/>
    <x v="111"/>
    <x v="30"/>
    <x v="0"/>
    <n v="30"/>
    <n v="0"/>
    <n v="14"/>
    <x v="2"/>
    <n v="420"/>
    <x v="3"/>
    <n v="12.6"/>
    <n v="14"/>
    <n v="0"/>
  </r>
  <r>
    <x v="71"/>
    <x v="112"/>
    <x v="30"/>
    <x v="11"/>
    <n v="5"/>
    <n v="0"/>
    <n v="361.43"/>
    <x v="2"/>
    <n v="1807.15"/>
    <x v="3"/>
    <n v="325.28571428571399"/>
    <n v="361.43"/>
    <n v="542.14499999999998"/>
  </r>
  <r>
    <x v="58"/>
    <x v="113"/>
    <x v="30"/>
    <x v="13"/>
    <n v="8"/>
    <n v="0"/>
    <n v="102.14"/>
    <x v="2"/>
    <n v="817.12"/>
    <x v="3"/>
    <n v="92.86"/>
    <n v="102.14"/>
    <n v="245.136"/>
  </r>
  <r>
    <x v="71"/>
    <x v="112"/>
    <x v="30"/>
    <x v="13"/>
    <n v="10"/>
    <n v="0"/>
    <n v="102.14"/>
    <x v="2"/>
    <n v="1021.4"/>
    <x v="3"/>
    <n v="92.86"/>
    <n v="102.14"/>
    <n v="306.41999999999996"/>
  </r>
  <r>
    <x v="58"/>
    <x v="113"/>
    <x v="30"/>
    <x v="13"/>
    <n v="2"/>
    <n v="0"/>
    <n v="102.14"/>
    <x v="2"/>
    <n v="204.28"/>
    <x v="3"/>
    <n v="92.86"/>
    <n v="102.14"/>
    <n v="61.283999999999999"/>
  </r>
  <r>
    <x v="72"/>
    <x v="114"/>
    <x v="30"/>
    <x v="3"/>
    <n v="6"/>
    <n v="0"/>
    <n v="155.71"/>
    <x v="2"/>
    <n v="934.26"/>
    <x v="3"/>
    <n v="140.13999999999999"/>
    <n v="155.71"/>
    <n v="280.27799999999996"/>
  </r>
  <r>
    <x v="73"/>
    <x v="115"/>
    <x v="31"/>
    <x v="20"/>
    <n v="5"/>
    <n v="1"/>
    <n v="157.80000000000001"/>
    <x v="20"/>
    <n v="789"/>
    <x v="3"/>
    <n v="141.43"/>
    <n v="157.13999999999999"/>
    <n v="236.7"/>
  </r>
  <r>
    <x v="74"/>
    <x v="116"/>
    <x v="32"/>
    <x v="23"/>
    <n v="5"/>
    <n v="1"/>
    <n v="107.14"/>
    <x v="21"/>
    <n v="535.70000000000005"/>
    <x v="3"/>
    <m/>
    <m/>
    <n v="160.71"/>
  </r>
  <r>
    <x v="67"/>
    <x v="117"/>
    <x v="32"/>
    <x v="20"/>
    <n v="5"/>
    <n v="1"/>
    <n v="157.13999999999999"/>
    <x v="21"/>
    <n v="785.7"/>
    <x v="3"/>
    <n v="141.43"/>
    <n v="157.13999999999999"/>
    <n v="235.71"/>
  </r>
  <r>
    <x v="74"/>
    <x v="118"/>
    <x v="33"/>
    <x v="7"/>
    <n v="5"/>
    <n v="1"/>
    <n v="171.43"/>
    <x v="13"/>
    <n v="857.15"/>
    <x v="3"/>
    <n v="154.29"/>
    <n v="171.43"/>
    <n v="257.14499999999998"/>
  </r>
  <r>
    <x v="74"/>
    <x v="118"/>
    <x v="33"/>
    <x v="12"/>
    <n v="5"/>
    <n v="1"/>
    <n v="50"/>
    <x v="13"/>
    <n v="250"/>
    <x v="3"/>
    <n v="45"/>
    <n v="50"/>
    <n v="75"/>
  </r>
  <r>
    <x v="59"/>
    <x v="119"/>
    <x v="34"/>
    <x v="7"/>
    <n v="1"/>
    <n v="0"/>
    <n v="171.43"/>
    <x v="0"/>
    <n v="171.43"/>
    <x v="3"/>
    <n v="154.29"/>
    <n v="171.43"/>
    <n v="0"/>
  </r>
  <r>
    <x v="59"/>
    <x v="119"/>
    <x v="34"/>
    <x v="7"/>
    <n v="1"/>
    <n v="0"/>
    <n v="171.43"/>
    <x v="0"/>
    <n v="171.43"/>
    <x v="3"/>
    <n v="154.29"/>
    <n v="171.43"/>
    <n v="0"/>
  </r>
  <r>
    <x v="59"/>
    <x v="119"/>
    <x v="34"/>
    <x v="2"/>
    <n v="3"/>
    <n v="0"/>
    <n v="146.31"/>
    <x v="0"/>
    <n v="438.93"/>
    <x v="3"/>
    <n v="131.68"/>
    <n v="146.31"/>
    <n v="131.679"/>
  </r>
  <r>
    <x v="59"/>
    <x v="119"/>
    <x v="34"/>
    <x v="20"/>
    <n v="1"/>
    <n v="0"/>
    <n v="157.13999999999999"/>
    <x v="0"/>
    <n v="157.13999999999999"/>
    <x v="3"/>
    <n v="141.43"/>
    <n v="157.13999999999999"/>
    <n v="47.141999999999996"/>
  </r>
  <r>
    <x v="59"/>
    <x v="119"/>
    <x v="34"/>
    <x v="20"/>
    <n v="1"/>
    <n v="0"/>
    <n v="157.13999999999999"/>
    <x v="0"/>
    <n v="157.13999999999999"/>
    <x v="3"/>
    <n v="141.43"/>
    <n v="157.13999999999999"/>
    <n v="47.141999999999996"/>
  </r>
  <r>
    <x v="61"/>
    <x v="120"/>
    <x v="35"/>
    <x v="2"/>
    <n v="3"/>
    <n v="0"/>
    <n v="146.31"/>
    <x v="21"/>
    <n v="438.93"/>
    <x v="3"/>
    <n v="131.68"/>
    <n v="146.31"/>
    <n v="175.572"/>
  </r>
  <r>
    <x v="67"/>
    <x v="121"/>
    <x v="35"/>
    <x v="2"/>
    <n v="4"/>
    <n v="0"/>
    <n v="146.31"/>
    <x v="21"/>
    <n v="585.24"/>
    <x v="3"/>
    <n v="131.68"/>
    <n v="146.31"/>
    <n v="234.096"/>
  </r>
  <r>
    <x v="61"/>
    <x v="120"/>
    <x v="35"/>
    <x v="11"/>
    <n v="3"/>
    <n v="0"/>
    <n v="361.43"/>
    <x v="21"/>
    <n v="1084.29"/>
    <x v="3"/>
    <n v="325.28571428571399"/>
    <n v="361.43"/>
    <n v="433.71600000000001"/>
  </r>
  <r>
    <x v="75"/>
    <x v="122"/>
    <x v="35"/>
    <x v="11"/>
    <n v="3"/>
    <n v="0"/>
    <n v="361.43"/>
    <x v="21"/>
    <n v="1084.29"/>
    <x v="3"/>
    <n v="325.28571428571399"/>
    <n v="361.43"/>
    <n v="433.71600000000001"/>
  </r>
  <r>
    <x v="67"/>
    <x v="121"/>
    <x v="35"/>
    <x v="11"/>
    <n v="3"/>
    <n v="0"/>
    <n v="361.43"/>
    <x v="21"/>
    <n v="1084.29"/>
    <x v="3"/>
    <n v="325.28571428571399"/>
    <n v="361.43"/>
    <n v="433.71600000000001"/>
  </r>
  <r>
    <x v="61"/>
    <x v="120"/>
    <x v="35"/>
    <x v="12"/>
    <n v="3"/>
    <n v="0"/>
    <n v="50"/>
    <x v="21"/>
    <n v="150"/>
    <x v="3"/>
    <n v="45"/>
    <n v="50"/>
    <n v="60"/>
  </r>
  <r>
    <x v="61"/>
    <x v="120"/>
    <x v="35"/>
    <x v="13"/>
    <n v="3"/>
    <n v="0"/>
    <n v="102.14"/>
    <x v="21"/>
    <n v="306.42"/>
    <x v="3"/>
    <n v="92.86"/>
    <n v="102.14"/>
    <n v="122.56800000000001"/>
  </r>
  <r>
    <x v="67"/>
    <x v="121"/>
    <x v="35"/>
    <x v="13"/>
    <n v="6"/>
    <n v="0"/>
    <n v="102.14"/>
    <x v="21"/>
    <n v="612.84"/>
    <x v="3"/>
    <n v="92.86"/>
    <n v="102.14"/>
    <n v="245.13600000000002"/>
  </r>
  <r>
    <x v="75"/>
    <x v="122"/>
    <x v="35"/>
    <x v="13"/>
    <n v="4"/>
    <n v="0"/>
    <n v="102.14"/>
    <x v="21"/>
    <n v="408.56"/>
    <x v="3"/>
    <n v="92.86"/>
    <n v="102.14"/>
    <n v="163.42400000000001"/>
  </r>
  <r>
    <x v="74"/>
    <x v="123"/>
    <x v="36"/>
    <x v="2"/>
    <n v="10"/>
    <n v="1"/>
    <n v="146.31"/>
    <x v="13"/>
    <n v="1463.1"/>
    <x v="3"/>
    <n v="131.68"/>
    <n v="146.31"/>
    <n v="438.92999999999995"/>
  </r>
  <r>
    <x v="74"/>
    <x v="123"/>
    <x v="36"/>
    <x v="8"/>
    <n v="10"/>
    <n v="1"/>
    <n v="196.43"/>
    <x v="13"/>
    <n v="1964.3"/>
    <x v="3"/>
    <n v="176.79"/>
    <n v="196.43"/>
    <n v="589.29"/>
  </r>
  <r>
    <x v="76"/>
    <x v="124"/>
    <x v="18"/>
    <x v="0"/>
    <n v="10"/>
    <n v="0"/>
    <n v="15.12"/>
    <x v="22"/>
    <n v="151.19999999999999"/>
    <x v="3"/>
    <n v="12.6"/>
    <n v="14"/>
    <n v="0"/>
  </r>
  <r>
    <x v="73"/>
    <x v="125"/>
    <x v="18"/>
    <x v="0"/>
    <n v="10"/>
    <n v="0"/>
    <n v="15.12"/>
    <x v="22"/>
    <n v="151.19999999999999"/>
    <x v="3"/>
    <n v="12.6"/>
    <n v="14"/>
    <n v="0"/>
  </r>
  <r>
    <x v="63"/>
    <x v="126"/>
    <x v="18"/>
    <x v="0"/>
    <n v="10"/>
    <n v="0"/>
    <n v="15.12"/>
    <x v="22"/>
    <n v="151.19999999999999"/>
    <x v="3"/>
    <n v="12.6"/>
    <n v="14"/>
    <n v="0"/>
  </r>
  <r>
    <x v="77"/>
    <x v="127"/>
    <x v="18"/>
    <x v="0"/>
    <n v="15"/>
    <n v="0"/>
    <n v="15.12"/>
    <x v="22"/>
    <n v="226.8"/>
    <x v="3"/>
    <n v="12.6"/>
    <n v="14"/>
    <n v="0"/>
  </r>
  <r>
    <x v="74"/>
    <x v="128"/>
    <x v="37"/>
    <x v="8"/>
    <n v="10"/>
    <n v="1"/>
    <n v="196.43"/>
    <x v="14"/>
    <n v="1964.3"/>
    <x v="3"/>
    <n v="176.79"/>
    <n v="196.43"/>
    <n v="589.29"/>
  </r>
  <r>
    <x v="74"/>
    <x v="128"/>
    <x v="37"/>
    <x v="10"/>
    <n v="10"/>
    <n v="1"/>
    <n v="77.86"/>
    <x v="14"/>
    <n v="778.6"/>
    <x v="3"/>
    <n v="69.290000000000006"/>
    <n v="77.86"/>
    <n v="233.57999999999998"/>
  </r>
  <r>
    <x v="68"/>
    <x v="129"/>
    <x v="37"/>
    <x v="2"/>
    <n v="10"/>
    <n v="0"/>
    <n v="146.31"/>
    <x v="14"/>
    <n v="1463.1"/>
    <x v="3"/>
    <n v="131.68"/>
    <n v="146.31"/>
    <n v="438.92999999999995"/>
  </r>
  <r>
    <x v="59"/>
    <x v="130"/>
    <x v="37"/>
    <x v="2"/>
    <n v="10"/>
    <n v="0"/>
    <n v="146.31"/>
    <x v="14"/>
    <n v="1463.1"/>
    <x v="3"/>
    <n v="131.68"/>
    <n v="146.31"/>
    <n v="438.92999999999995"/>
  </r>
  <r>
    <x v="59"/>
    <x v="130"/>
    <x v="37"/>
    <x v="11"/>
    <n v="10"/>
    <n v="1"/>
    <n v="361.43"/>
    <x v="14"/>
    <n v="3614.3"/>
    <x v="3"/>
    <n v="325.28571428571399"/>
    <n v="361.43"/>
    <n v="1084.29"/>
  </r>
  <r>
    <x v="68"/>
    <x v="129"/>
    <x v="37"/>
    <x v="13"/>
    <n v="10"/>
    <n v="1"/>
    <n v="102.14"/>
    <x v="14"/>
    <n v="1021.4"/>
    <x v="3"/>
    <n v="92.86"/>
    <n v="102.14"/>
    <n v="306.41999999999996"/>
  </r>
  <r>
    <x v="59"/>
    <x v="130"/>
    <x v="37"/>
    <x v="13"/>
    <n v="6"/>
    <n v="0"/>
    <n v="102.14"/>
    <x v="14"/>
    <n v="612.84"/>
    <x v="3"/>
    <n v="92.86"/>
    <n v="102.14"/>
    <n v="183.852"/>
  </r>
  <r>
    <x v="59"/>
    <x v="130"/>
    <x v="37"/>
    <x v="13"/>
    <n v="4"/>
    <n v="0"/>
    <n v="102.14"/>
    <x v="14"/>
    <n v="408.56"/>
    <x v="3"/>
    <n v="92.86"/>
    <n v="102.14"/>
    <n v="122.568"/>
  </r>
  <r>
    <x v="59"/>
    <x v="130"/>
    <x v="37"/>
    <x v="13"/>
    <n v="1"/>
    <n v="0"/>
    <n v="1"/>
    <x v="14"/>
    <n v="1"/>
    <x v="3"/>
    <n v="92.86"/>
    <n v="102.14"/>
    <n v="0.3"/>
  </r>
  <r>
    <x v="63"/>
    <x v="131"/>
    <x v="37"/>
    <x v="13"/>
    <n v="8"/>
    <n v="0"/>
    <n v="102.14"/>
    <x v="14"/>
    <n v="817.12"/>
    <x v="3"/>
    <n v="92.86"/>
    <n v="102.14"/>
    <n v="245.136"/>
  </r>
  <r>
    <x v="63"/>
    <x v="131"/>
    <x v="37"/>
    <x v="13"/>
    <n v="2"/>
    <n v="0"/>
    <n v="102.14"/>
    <x v="14"/>
    <n v="204.28"/>
    <x v="3"/>
    <n v="92.86"/>
    <n v="102.14"/>
    <n v="61.283999999999999"/>
  </r>
  <r>
    <x v="63"/>
    <x v="131"/>
    <x v="37"/>
    <x v="13"/>
    <n v="1"/>
    <n v="0"/>
    <n v="1"/>
    <x v="14"/>
    <n v="1"/>
    <x v="3"/>
    <n v="92.86"/>
    <n v="102.14"/>
    <n v="0.3"/>
  </r>
  <r>
    <x v="67"/>
    <x v="132"/>
    <x v="38"/>
    <x v="2"/>
    <n v="10"/>
    <n v="1"/>
    <n v="146.31"/>
    <x v="21"/>
    <n v="1463.1"/>
    <x v="3"/>
    <n v="131.68"/>
    <n v="146.31"/>
    <n v="585.24"/>
  </r>
  <r>
    <x v="67"/>
    <x v="132"/>
    <x v="38"/>
    <x v="11"/>
    <n v="10"/>
    <n v="1"/>
    <n v="361.43"/>
    <x v="21"/>
    <n v="3614.3"/>
    <x v="3"/>
    <n v="325.28571428571399"/>
    <n v="361.43"/>
    <n v="1445.7200000000003"/>
  </r>
  <r>
    <x v="67"/>
    <x v="132"/>
    <x v="38"/>
    <x v="13"/>
    <n v="10"/>
    <n v="1"/>
    <n v="102.14"/>
    <x v="21"/>
    <n v="1021.4"/>
    <x v="3"/>
    <n v="92.86"/>
    <n v="102.14"/>
    <n v="408.56"/>
  </r>
  <r>
    <x v="60"/>
    <x v="133"/>
    <x v="39"/>
    <x v="2"/>
    <n v="10"/>
    <n v="0"/>
    <n v="146.31"/>
    <x v="21"/>
    <n v="1463.1"/>
    <x v="3"/>
    <n v="131.68"/>
    <n v="146.31"/>
    <n v="585.24"/>
  </r>
  <r>
    <x v="60"/>
    <x v="133"/>
    <x v="39"/>
    <x v="11"/>
    <n v="10"/>
    <n v="0"/>
    <n v="361.43"/>
    <x v="21"/>
    <n v="3614.3"/>
    <x v="3"/>
    <n v="325.28571428571399"/>
    <n v="361.43"/>
    <n v="1445.7200000000003"/>
  </r>
  <r>
    <x v="60"/>
    <x v="133"/>
    <x v="39"/>
    <x v="13"/>
    <n v="10"/>
    <n v="0"/>
    <n v="102.14"/>
    <x v="21"/>
    <n v="1021.4"/>
    <x v="3"/>
    <n v="92.86"/>
    <n v="102.14"/>
    <n v="408.56"/>
  </r>
  <r>
    <x v="61"/>
    <x v="134"/>
    <x v="30"/>
    <x v="4"/>
    <n v="10"/>
    <n v="0"/>
    <n v="55.79"/>
    <x v="2"/>
    <n v="557.9"/>
    <x v="3"/>
    <n v="50.21"/>
    <n v="55.79"/>
    <n v="167.36999999999998"/>
  </r>
  <r>
    <x v="59"/>
    <x v="135"/>
    <x v="30"/>
    <x v="5"/>
    <n v="10"/>
    <n v="1"/>
    <n v="60.94"/>
    <x v="2"/>
    <n v="609.4"/>
    <x v="3"/>
    <n v="50.79"/>
    <n v="56.43"/>
    <n v="182.82"/>
  </r>
  <r>
    <x v="72"/>
    <x v="136"/>
    <x v="30"/>
    <x v="5"/>
    <n v="10"/>
    <n v="0"/>
    <n v="60.94"/>
    <x v="2"/>
    <n v="609.4"/>
    <x v="3"/>
    <n v="50.79"/>
    <n v="56.43"/>
    <n v="182.82"/>
  </r>
  <r>
    <x v="61"/>
    <x v="134"/>
    <x v="30"/>
    <x v="5"/>
    <n v="10"/>
    <n v="0"/>
    <n v="60.94"/>
    <x v="2"/>
    <n v="609.4"/>
    <x v="3"/>
    <n v="50.79"/>
    <n v="56.43"/>
    <n v="182.82"/>
  </r>
  <r>
    <x v="57"/>
    <x v="137"/>
    <x v="30"/>
    <x v="22"/>
    <n v="10"/>
    <n v="0"/>
    <n v="164.8"/>
    <x v="2"/>
    <n v="1648"/>
    <x v="3"/>
    <n v="185.5"/>
    <n v="206.25"/>
    <n v="494.4"/>
  </r>
  <r>
    <x v="59"/>
    <x v="135"/>
    <x v="30"/>
    <x v="13"/>
    <n v="10"/>
    <n v="1"/>
    <n v="102.14"/>
    <x v="2"/>
    <n v="1021.4"/>
    <x v="3"/>
    <n v="92.86"/>
    <n v="102.14"/>
    <n v="306.41999999999996"/>
  </r>
  <r>
    <x v="72"/>
    <x v="138"/>
    <x v="30"/>
    <x v="13"/>
    <n v="10"/>
    <n v="1"/>
    <n v="102.14"/>
    <x v="2"/>
    <n v="1021.4"/>
    <x v="3"/>
    <n v="92.86"/>
    <n v="102.14"/>
    <n v="306.41999999999996"/>
  </r>
  <r>
    <x v="78"/>
    <x v="139"/>
    <x v="30"/>
    <x v="13"/>
    <n v="10"/>
    <n v="1"/>
    <n v="102.14"/>
    <x v="2"/>
    <n v="1021.4"/>
    <x v="3"/>
    <n v="92.86"/>
    <n v="102.14"/>
    <n v="306.41999999999996"/>
  </r>
  <r>
    <x v="73"/>
    <x v="140"/>
    <x v="21"/>
    <x v="7"/>
    <n v="10"/>
    <n v="1"/>
    <n v="171.43"/>
    <x v="16"/>
    <n v="1714.3"/>
    <x v="3"/>
    <n v="154.29"/>
    <n v="171.43"/>
    <n v="514.29"/>
  </r>
  <r>
    <x v="74"/>
    <x v="141"/>
    <x v="40"/>
    <x v="8"/>
    <n v="10"/>
    <n v="1"/>
    <n v="196.43"/>
    <x v="0"/>
    <n v="1964.3"/>
    <x v="3"/>
    <n v="176.79"/>
    <n v="196.43"/>
    <n v="589.29"/>
  </r>
  <r>
    <x v="59"/>
    <x v="142"/>
    <x v="23"/>
    <x v="12"/>
    <n v="3"/>
    <n v="0"/>
    <n v="50"/>
    <x v="8"/>
    <n v="150"/>
    <x v="3"/>
    <n v="45"/>
    <n v="50"/>
    <n v="45"/>
  </r>
  <r>
    <x v="59"/>
    <x v="142"/>
    <x v="23"/>
    <x v="13"/>
    <n v="3"/>
    <n v="0"/>
    <n v="102.14"/>
    <x v="8"/>
    <n v="306.42"/>
    <x v="3"/>
    <n v="92.86"/>
    <n v="102.14"/>
    <n v="91.926000000000002"/>
  </r>
  <r>
    <x v="74"/>
    <x v="143"/>
    <x v="41"/>
    <x v="7"/>
    <n v="5"/>
    <n v="0"/>
    <n v="171.43"/>
    <x v="9"/>
    <n v="857.15"/>
    <x v="3"/>
    <n v="154.29"/>
    <n v="171.43"/>
    <n v="257.14499999999998"/>
  </r>
  <r>
    <x v="74"/>
    <x v="143"/>
    <x v="41"/>
    <x v="2"/>
    <n v="5"/>
    <n v="0"/>
    <n v="146.31"/>
    <x v="9"/>
    <n v="731.55"/>
    <x v="3"/>
    <n v="131.68"/>
    <n v="146.31"/>
    <n v="219.46499999999997"/>
  </r>
  <r>
    <x v="74"/>
    <x v="144"/>
    <x v="42"/>
    <x v="2"/>
    <n v="10"/>
    <n v="2"/>
    <n v="146.31"/>
    <x v="20"/>
    <n v="1463.1"/>
    <x v="3"/>
    <n v="131.68"/>
    <n v="146.31"/>
    <n v="438.92999999999995"/>
  </r>
  <r>
    <x v="74"/>
    <x v="144"/>
    <x v="42"/>
    <x v="12"/>
    <n v="10"/>
    <n v="2"/>
    <n v="50"/>
    <x v="20"/>
    <n v="500"/>
    <x v="3"/>
    <n v="45"/>
    <n v="50"/>
    <n v="150"/>
  </r>
  <r>
    <x v="74"/>
    <x v="144"/>
    <x v="42"/>
    <x v="13"/>
    <n v="10"/>
    <n v="2"/>
    <n v="102.14"/>
    <x v="20"/>
    <n v="1021.4"/>
    <x v="3"/>
    <n v="92.86"/>
    <n v="102.14"/>
    <n v="306.41999999999996"/>
  </r>
  <r>
    <x v="68"/>
    <x v="129"/>
    <x v="43"/>
    <x v="2"/>
    <n v="10"/>
    <n v="0"/>
    <n v="146.31"/>
    <x v="21"/>
    <n v="1463.1"/>
    <x v="3"/>
    <n v="131.68"/>
    <n v="146.31"/>
    <n v="585.24"/>
  </r>
  <r>
    <x v="59"/>
    <x v="130"/>
    <x v="43"/>
    <x v="2"/>
    <n v="10"/>
    <n v="0"/>
    <n v="146.31"/>
    <x v="21"/>
    <n v="1463.1"/>
    <x v="3"/>
    <n v="131.68"/>
    <n v="146.31"/>
    <n v="585.24"/>
  </r>
  <r>
    <x v="59"/>
    <x v="130"/>
    <x v="43"/>
    <x v="11"/>
    <n v="10"/>
    <n v="1"/>
    <n v="361.43"/>
    <x v="21"/>
    <n v="3614.3"/>
    <x v="3"/>
    <n v="325.28571428571399"/>
    <n v="361.43"/>
    <n v="1445.7200000000003"/>
  </r>
  <r>
    <x v="68"/>
    <x v="129"/>
    <x v="43"/>
    <x v="13"/>
    <n v="10"/>
    <n v="1"/>
    <n v="102.14"/>
    <x v="21"/>
    <n v="1021.4"/>
    <x v="3"/>
    <n v="92.86"/>
    <n v="102.14"/>
    <n v="408.56"/>
  </r>
  <r>
    <x v="59"/>
    <x v="130"/>
    <x v="43"/>
    <x v="13"/>
    <n v="6"/>
    <n v="0"/>
    <n v="102.14"/>
    <x v="21"/>
    <n v="612.84"/>
    <x v="3"/>
    <n v="92.86"/>
    <n v="102.14"/>
    <n v="245.13600000000002"/>
  </r>
  <r>
    <x v="59"/>
    <x v="130"/>
    <x v="43"/>
    <x v="13"/>
    <n v="4"/>
    <n v="0"/>
    <n v="102.14"/>
    <x v="21"/>
    <n v="408.56"/>
    <x v="3"/>
    <n v="92.86"/>
    <n v="102.14"/>
    <n v="163.42400000000001"/>
  </r>
  <r>
    <x v="59"/>
    <x v="130"/>
    <x v="43"/>
    <x v="13"/>
    <n v="1"/>
    <n v="0"/>
    <n v="1"/>
    <x v="21"/>
    <n v="1"/>
    <x v="3"/>
    <n v="92.86"/>
    <n v="102.14"/>
    <n v="0.4"/>
  </r>
  <r>
    <x v="63"/>
    <x v="131"/>
    <x v="43"/>
    <x v="13"/>
    <n v="8"/>
    <n v="0"/>
    <n v="102.14"/>
    <x v="21"/>
    <n v="817.12"/>
    <x v="3"/>
    <n v="92.86"/>
    <n v="102.14"/>
    <n v="326.84800000000001"/>
  </r>
  <r>
    <x v="63"/>
    <x v="131"/>
    <x v="43"/>
    <x v="13"/>
    <n v="2"/>
    <n v="0"/>
    <n v="102.14"/>
    <x v="21"/>
    <n v="204.28"/>
    <x v="3"/>
    <n v="92.86"/>
    <n v="102.14"/>
    <n v="81.712000000000003"/>
  </r>
  <r>
    <x v="63"/>
    <x v="131"/>
    <x v="43"/>
    <x v="13"/>
    <n v="1"/>
    <n v="0"/>
    <n v="1"/>
    <x v="21"/>
    <n v="1"/>
    <x v="3"/>
    <n v="92.86"/>
    <n v="102.14"/>
    <n v="0.4"/>
  </r>
  <r>
    <x v="79"/>
    <x v="145"/>
    <x v="44"/>
    <x v="2"/>
    <n v="10"/>
    <n v="1"/>
    <n v="146.31"/>
    <x v="4"/>
    <n v="1463.1"/>
    <x v="4"/>
    <n v="131.68"/>
    <n v="146.31"/>
    <n v="438.92999999999995"/>
  </r>
  <r>
    <x v="79"/>
    <x v="145"/>
    <x v="44"/>
    <x v="8"/>
    <n v="10"/>
    <n v="1"/>
    <n v="196.43"/>
    <x v="4"/>
    <n v="1964.3"/>
    <x v="4"/>
    <n v="176.79"/>
    <n v="196.43"/>
    <n v="589.29"/>
  </r>
  <r>
    <x v="80"/>
    <x v="146"/>
    <x v="45"/>
    <x v="20"/>
    <n v="5"/>
    <n v="0"/>
    <n v="157.71"/>
    <x v="23"/>
    <n v="788.55"/>
    <x v="4"/>
    <n v="141.43"/>
    <n v="157.13999999999999"/>
    <n v="236.56499999999997"/>
  </r>
  <r>
    <x v="80"/>
    <x v="146"/>
    <x v="45"/>
    <x v="24"/>
    <n v="5"/>
    <n v="0"/>
    <n v="64.290000000000006"/>
    <x v="23"/>
    <n v="321.45"/>
    <x v="4"/>
    <m/>
    <m/>
    <n v="96.434999999999988"/>
  </r>
  <r>
    <x v="80"/>
    <x v="147"/>
    <x v="46"/>
    <x v="25"/>
    <n v="10"/>
    <n v="1"/>
    <n v="71.430000000000007"/>
    <x v="24"/>
    <n v="714.3"/>
    <x v="4"/>
    <m/>
    <m/>
    <n v="214.29"/>
  </r>
  <r>
    <x v="80"/>
    <x v="148"/>
    <x v="47"/>
    <x v="26"/>
    <n v="10"/>
    <n v="1"/>
    <n v="151.43"/>
    <x v="25"/>
    <n v="1514.3"/>
    <x v="4"/>
    <m/>
    <m/>
    <n v="454.28999999999996"/>
  </r>
  <r>
    <x v="80"/>
    <x v="148"/>
    <x v="47"/>
    <x v="20"/>
    <n v="10"/>
    <n v="1"/>
    <n v="157.71"/>
    <x v="25"/>
    <n v="1577.1"/>
    <x v="4"/>
    <n v="141.43"/>
    <n v="157.13999999999999"/>
    <n v="473.12999999999994"/>
  </r>
  <r>
    <x v="81"/>
    <x v="149"/>
    <x v="48"/>
    <x v="20"/>
    <n v="2"/>
    <n v="0"/>
    <n v="157.13999999999999"/>
    <x v="8"/>
    <n v="314.27999999999997"/>
    <x v="4"/>
    <n v="141.43"/>
    <n v="157.13999999999999"/>
    <n v="94.283999999999992"/>
  </r>
  <r>
    <x v="82"/>
    <x v="150"/>
    <x v="8"/>
    <x v="7"/>
    <n v="10"/>
    <n v="0"/>
    <n v="171.43"/>
    <x v="5"/>
    <n v="1714.3"/>
    <x v="4"/>
    <n v="154.29"/>
    <n v="171.43"/>
    <n v="685.72"/>
  </r>
  <r>
    <x v="80"/>
    <x v="151"/>
    <x v="8"/>
    <x v="7"/>
    <n v="2"/>
    <n v="0"/>
    <n v="171.43"/>
    <x v="5"/>
    <n v="342.86"/>
    <x v="4"/>
    <n v="154.29"/>
    <n v="171.43"/>
    <n v="137.14400000000001"/>
  </r>
  <r>
    <x v="82"/>
    <x v="150"/>
    <x v="8"/>
    <x v="7"/>
    <n v="1"/>
    <n v="0"/>
    <n v="1"/>
    <x v="5"/>
    <n v="1"/>
    <x v="4"/>
    <n v="154.29"/>
    <n v="171.43"/>
    <n v="0.4"/>
  </r>
  <r>
    <x v="80"/>
    <x v="151"/>
    <x v="8"/>
    <x v="26"/>
    <n v="5"/>
    <n v="0"/>
    <n v="151.43"/>
    <x v="5"/>
    <n v="757.15"/>
    <x v="4"/>
    <m/>
    <m/>
    <n v="302.86"/>
  </r>
  <r>
    <x v="80"/>
    <x v="151"/>
    <x v="8"/>
    <x v="18"/>
    <n v="10"/>
    <n v="1"/>
    <n v="142.86000000000001"/>
    <x v="5"/>
    <n v="1428.6"/>
    <x v="4"/>
    <n v="128.57142857142901"/>
    <n v="142.86000000000001"/>
    <n v="571.43999999999994"/>
  </r>
  <r>
    <x v="81"/>
    <x v="152"/>
    <x v="9"/>
    <x v="18"/>
    <n v="3"/>
    <n v="0"/>
    <n v="142.86000000000001"/>
    <x v="6"/>
    <n v="428.58"/>
    <x v="4"/>
    <n v="128.57142857142901"/>
    <n v="142.86000000000001"/>
    <n v="128.57399999999998"/>
  </r>
  <r>
    <x v="81"/>
    <x v="152"/>
    <x v="9"/>
    <x v="23"/>
    <n v="3"/>
    <n v="0"/>
    <n v="107.14"/>
    <x v="6"/>
    <n v="321.42"/>
    <x v="4"/>
    <m/>
    <m/>
    <n v="96.426000000000002"/>
  </r>
  <r>
    <x v="81"/>
    <x v="152"/>
    <x v="9"/>
    <x v="21"/>
    <n v="3"/>
    <n v="0"/>
    <n v="396"/>
    <x v="6"/>
    <n v="1188"/>
    <x v="4"/>
    <m/>
    <m/>
    <n v="356.4"/>
  </r>
  <r>
    <x v="81"/>
    <x v="152"/>
    <x v="9"/>
    <x v="17"/>
    <n v="4"/>
    <n v="0"/>
    <n v="150"/>
    <x v="6"/>
    <n v="600"/>
    <x v="4"/>
    <n v="135"/>
    <n v="150"/>
    <n v="180"/>
  </r>
  <r>
    <x v="81"/>
    <x v="153"/>
    <x v="49"/>
    <x v="10"/>
    <n v="5"/>
    <n v="0"/>
    <n v="77.86"/>
    <x v="26"/>
    <n v="389.3"/>
    <x v="4"/>
    <n v="69.290000000000006"/>
    <n v="77.86"/>
    <n v="116.78999999999999"/>
  </r>
  <r>
    <x v="81"/>
    <x v="153"/>
    <x v="49"/>
    <x v="3"/>
    <n v="5"/>
    <n v="0"/>
    <n v="155.74"/>
    <x v="26"/>
    <n v="778.7"/>
    <x v="4"/>
    <n v="140.13999999999999"/>
    <n v="155.71"/>
    <n v="233.61"/>
  </r>
  <r>
    <x v="80"/>
    <x v="154"/>
    <x v="50"/>
    <x v="7"/>
    <n v="10"/>
    <n v="1"/>
    <n v="171.43"/>
    <x v="5"/>
    <n v="1714.3"/>
    <x v="4"/>
    <n v="154.29"/>
    <n v="171.43"/>
    <n v="685.72"/>
  </r>
  <r>
    <x v="80"/>
    <x v="154"/>
    <x v="50"/>
    <x v="20"/>
    <n v="5"/>
    <n v="0"/>
    <n v="157.71"/>
    <x v="5"/>
    <n v="788.55"/>
    <x v="4"/>
    <n v="141.43"/>
    <n v="157.13999999999999"/>
    <n v="315.42"/>
  </r>
  <r>
    <x v="83"/>
    <x v="155"/>
    <x v="51"/>
    <x v="7"/>
    <n v="10"/>
    <n v="1"/>
    <n v="171.43"/>
    <x v="5"/>
    <n v="1714.3"/>
    <x v="4"/>
    <n v="154.29"/>
    <n v="171.43"/>
    <n v="685.72"/>
  </r>
  <r>
    <x v="79"/>
    <x v="156"/>
    <x v="13"/>
    <x v="2"/>
    <n v="10"/>
    <n v="1"/>
    <n v="146.31"/>
    <x v="9"/>
    <n v="1463.1"/>
    <x v="4"/>
    <n v="131.68"/>
    <n v="146.31"/>
    <n v="438.92999999999995"/>
  </r>
  <r>
    <x v="81"/>
    <x v="157"/>
    <x v="16"/>
    <x v="7"/>
    <n v="20"/>
    <n v="2"/>
    <n v="171.43"/>
    <x v="12"/>
    <n v="3428.6"/>
    <x v="4"/>
    <n v="154.29"/>
    <n v="171.43"/>
    <n v="1028.58"/>
  </r>
  <r>
    <x v="81"/>
    <x v="157"/>
    <x v="16"/>
    <x v="27"/>
    <n v="10"/>
    <n v="1"/>
    <n v="125"/>
    <x v="12"/>
    <n v="1250"/>
    <x v="4"/>
    <m/>
    <m/>
    <n v="375"/>
  </r>
  <r>
    <x v="81"/>
    <x v="157"/>
    <x v="16"/>
    <x v="10"/>
    <n v="20"/>
    <n v="2"/>
    <n v="77.86"/>
    <x v="12"/>
    <n v="1557.2"/>
    <x v="4"/>
    <n v="69.290000000000006"/>
    <n v="77.86"/>
    <n v="467.15999999999997"/>
  </r>
  <r>
    <x v="80"/>
    <x v="158"/>
    <x v="52"/>
    <x v="3"/>
    <n v="4"/>
    <n v="0"/>
    <n v="155.74"/>
    <x v="27"/>
    <n v="622.96"/>
    <x v="4"/>
    <n v="140.13999999999999"/>
    <n v="155.71"/>
    <n v="186.88800000000001"/>
  </r>
  <r>
    <x v="80"/>
    <x v="158"/>
    <x v="52"/>
    <x v="24"/>
    <n v="3"/>
    <n v="0"/>
    <n v="64.290000000000006"/>
    <x v="27"/>
    <n v="192.87"/>
    <x v="4"/>
    <m/>
    <m/>
    <n v="57.860999999999997"/>
  </r>
  <r>
    <x v="81"/>
    <x v="159"/>
    <x v="53"/>
    <x v="27"/>
    <n v="10"/>
    <n v="1"/>
    <n v="125"/>
    <x v="28"/>
    <n v="1250"/>
    <x v="4"/>
    <m/>
    <m/>
    <n v="0"/>
  </r>
  <r>
    <x v="81"/>
    <x v="159"/>
    <x v="53"/>
    <x v="24"/>
    <n v="10"/>
    <n v="1"/>
    <n v="90"/>
    <x v="28"/>
    <n v="900"/>
    <x v="4"/>
    <m/>
    <m/>
    <n v="0"/>
  </r>
  <r>
    <x v="84"/>
    <x v="160"/>
    <x v="54"/>
    <x v="20"/>
    <n v="5"/>
    <n v="0"/>
    <n v="157.13999999999999"/>
    <x v="3"/>
    <n v="785.7"/>
    <x v="4"/>
    <n v="141.43"/>
    <n v="157.13999999999999"/>
    <n v="235.71"/>
  </r>
  <r>
    <x v="81"/>
    <x v="161"/>
    <x v="55"/>
    <x v="7"/>
    <n v="10"/>
    <n v="1"/>
    <n v="171.43"/>
    <x v="29"/>
    <n v="1714.3"/>
    <x v="4"/>
    <n v="154.29"/>
    <n v="171.43"/>
    <n v="514.29"/>
  </r>
  <r>
    <x v="81"/>
    <x v="161"/>
    <x v="55"/>
    <x v="10"/>
    <n v="20"/>
    <n v="2"/>
    <n v="77.86"/>
    <x v="30"/>
    <n v="1557.2"/>
    <x v="4"/>
    <n v="69.290000000000006"/>
    <n v="77.86"/>
    <n v="467.15999999999997"/>
  </r>
  <r>
    <x v="85"/>
    <x v="162"/>
    <x v="35"/>
    <x v="8"/>
    <n v="3"/>
    <n v="0"/>
    <n v="196.43"/>
    <x v="31"/>
    <n v="589.29"/>
    <x v="4"/>
    <n v="176.79"/>
    <n v="196.43"/>
    <n v="176.78699999999998"/>
  </r>
  <r>
    <x v="86"/>
    <x v="163"/>
    <x v="35"/>
    <x v="11"/>
    <n v="3"/>
    <n v="0"/>
    <n v="361.43"/>
    <x v="21"/>
    <n v="1084.29"/>
    <x v="4"/>
    <n v="325.28571428571399"/>
    <n v="361.43"/>
    <n v="433.71600000000001"/>
  </r>
  <r>
    <x v="87"/>
    <x v="164"/>
    <x v="35"/>
    <x v="11"/>
    <n v="3"/>
    <n v="0"/>
    <n v="361.43"/>
    <x v="21"/>
    <n v="1084.29"/>
    <x v="4"/>
    <n v="325.28571428571399"/>
    <n v="361.43"/>
    <n v="433.71600000000001"/>
  </r>
  <r>
    <x v="88"/>
    <x v="165"/>
    <x v="35"/>
    <x v="13"/>
    <n v="6"/>
    <n v="0"/>
    <n v="102.14"/>
    <x v="21"/>
    <n v="612.84"/>
    <x v="4"/>
    <n v="92.86"/>
    <n v="102.14"/>
    <n v="245.13600000000002"/>
  </r>
  <r>
    <x v="85"/>
    <x v="162"/>
    <x v="35"/>
    <x v="20"/>
    <n v="2"/>
    <n v="0"/>
    <n v="157.13999999999999"/>
    <x v="31"/>
    <n v="314.27999999999997"/>
    <x v="4"/>
    <n v="141.43"/>
    <n v="157.13999999999999"/>
    <n v="94.283999999999992"/>
  </r>
  <r>
    <x v="80"/>
    <x v="166"/>
    <x v="56"/>
    <x v="2"/>
    <n v="10"/>
    <n v="1"/>
    <n v="146.31"/>
    <x v="32"/>
    <n v="1463.1"/>
    <x v="4"/>
    <n v="131.68"/>
    <n v="146.31"/>
    <n v="438.92999999999995"/>
  </r>
  <r>
    <x v="80"/>
    <x v="166"/>
    <x v="56"/>
    <x v="8"/>
    <n v="10"/>
    <n v="1"/>
    <n v="196.43"/>
    <x v="32"/>
    <n v="1964.3"/>
    <x v="4"/>
    <n v="176.79"/>
    <n v="196.43"/>
    <n v="589.29"/>
  </r>
  <r>
    <x v="80"/>
    <x v="167"/>
    <x v="57"/>
    <x v="7"/>
    <n v="10"/>
    <n v="1"/>
    <n v="171.43"/>
    <x v="32"/>
    <n v="1714.3"/>
    <x v="4"/>
    <n v="154.29"/>
    <n v="171.43"/>
    <n v="514.29"/>
  </r>
  <r>
    <x v="85"/>
    <x v="168"/>
    <x v="17"/>
    <x v="10"/>
    <n v="10"/>
    <n v="1"/>
    <n v="77.86"/>
    <x v="13"/>
    <n v="778.6"/>
    <x v="4"/>
    <n v="69.290000000000006"/>
    <n v="77.86"/>
    <n v="233.57999999999998"/>
  </r>
  <r>
    <x v="79"/>
    <x v="169"/>
    <x v="58"/>
    <x v="0"/>
    <n v="30"/>
    <n v="0"/>
    <n v="12"/>
    <x v="22"/>
    <n v="360"/>
    <x v="4"/>
    <n v="12.6"/>
    <n v="14"/>
    <n v="0"/>
  </r>
  <r>
    <x v="89"/>
    <x v="170"/>
    <x v="18"/>
    <x v="0"/>
    <n v="10"/>
    <n v="0"/>
    <n v="15.12"/>
    <x v="22"/>
    <n v="151.19999999999999"/>
    <x v="4"/>
    <n v="12.6"/>
    <n v="14"/>
    <n v="0"/>
  </r>
  <r>
    <x v="81"/>
    <x v="171"/>
    <x v="18"/>
    <x v="0"/>
    <n v="10"/>
    <n v="0"/>
    <n v="15.12"/>
    <x v="22"/>
    <n v="151.19999999999999"/>
    <x v="4"/>
    <n v="12.6"/>
    <n v="14"/>
    <n v="0"/>
  </r>
  <r>
    <x v="90"/>
    <x v="172"/>
    <x v="18"/>
    <x v="0"/>
    <n v="5"/>
    <n v="0"/>
    <n v="15.12"/>
    <x v="22"/>
    <n v="75.599999999999994"/>
    <x v="4"/>
    <n v="12.6"/>
    <n v="14"/>
    <n v="0"/>
  </r>
  <r>
    <x v="88"/>
    <x v="173"/>
    <x v="18"/>
    <x v="0"/>
    <n v="10"/>
    <n v="0"/>
    <n v="15.12"/>
    <x v="22"/>
    <n v="151.22"/>
    <x v="4"/>
    <n v="12.6"/>
    <n v="14"/>
    <n v="0"/>
  </r>
  <r>
    <x v="91"/>
    <x v="174"/>
    <x v="18"/>
    <x v="0"/>
    <n v="15"/>
    <n v="0"/>
    <n v="15.12"/>
    <x v="22"/>
    <n v="226.8"/>
    <x v="4"/>
    <n v="12.6"/>
    <n v="14"/>
    <n v="0"/>
  </r>
  <r>
    <x v="92"/>
    <x v="175"/>
    <x v="18"/>
    <x v="0"/>
    <n v="10"/>
    <n v="0"/>
    <n v="15.12"/>
    <x v="22"/>
    <n v="151.19999999999999"/>
    <x v="4"/>
    <n v="12.6"/>
    <n v="14"/>
    <n v="0"/>
  </r>
  <r>
    <x v="86"/>
    <x v="176"/>
    <x v="18"/>
    <x v="0"/>
    <n v="10"/>
    <n v="0"/>
    <n v="15.12"/>
    <x v="22"/>
    <n v="151.19999999999999"/>
    <x v="4"/>
    <n v="12.6"/>
    <n v="14"/>
    <n v="0"/>
  </r>
  <r>
    <x v="93"/>
    <x v="177"/>
    <x v="18"/>
    <x v="0"/>
    <n v="15"/>
    <n v="0"/>
    <n v="15.12"/>
    <x v="22"/>
    <n v="226.8"/>
    <x v="4"/>
    <n v="12.6"/>
    <n v="14"/>
    <n v="0"/>
  </r>
  <r>
    <x v="94"/>
    <x v="178"/>
    <x v="18"/>
    <x v="0"/>
    <n v="10"/>
    <n v="0"/>
    <n v="15.12"/>
    <x v="22"/>
    <n v="151.19999999999999"/>
    <x v="4"/>
    <n v="12.6"/>
    <n v="14"/>
    <n v="0"/>
  </r>
  <r>
    <x v="81"/>
    <x v="179"/>
    <x v="37"/>
    <x v="7"/>
    <n v="10"/>
    <n v="1"/>
    <n v="171.43"/>
    <x v="5"/>
    <n v="1714.3"/>
    <x v="4"/>
    <n v="154.29"/>
    <n v="171.43"/>
    <n v="685.72"/>
  </r>
  <r>
    <x v="83"/>
    <x v="180"/>
    <x v="37"/>
    <x v="7"/>
    <n v="10"/>
    <n v="1"/>
    <n v="171.43"/>
    <x v="5"/>
    <n v="1714.3"/>
    <x v="4"/>
    <n v="154.29"/>
    <n v="171.43"/>
    <n v="685.72"/>
  </r>
  <r>
    <x v="80"/>
    <x v="181"/>
    <x v="37"/>
    <x v="18"/>
    <n v="3"/>
    <n v="0"/>
    <n v="142.86000000000001"/>
    <x v="5"/>
    <n v="428.58"/>
    <x v="4"/>
    <n v="128.57142857142901"/>
    <n v="142.86000000000001"/>
    <n v="171.43200000000002"/>
  </r>
  <r>
    <x v="85"/>
    <x v="182"/>
    <x v="43"/>
    <x v="2"/>
    <n v="10"/>
    <n v="0"/>
    <n v="146.31"/>
    <x v="21"/>
    <n v="1463.1"/>
    <x v="4"/>
    <n v="131.68"/>
    <n v="146.31"/>
    <n v="585.24"/>
  </r>
  <r>
    <x v="81"/>
    <x v="183"/>
    <x v="43"/>
    <x v="2"/>
    <n v="10"/>
    <n v="0"/>
    <n v="146.31"/>
    <x v="21"/>
    <n v="1463.1"/>
    <x v="4"/>
    <n v="131.68"/>
    <n v="146.31"/>
    <n v="585.24"/>
  </r>
  <r>
    <x v="81"/>
    <x v="183"/>
    <x v="43"/>
    <x v="11"/>
    <n v="10"/>
    <n v="1"/>
    <n v="361.43"/>
    <x v="21"/>
    <n v="3614.3"/>
    <x v="4"/>
    <n v="325.28571428571399"/>
    <n v="361.43"/>
    <n v="1445.7200000000003"/>
  </r>
  <r>
    <x v="86"/>
    <x v="184"/>
    <x v="43"/>
    <x v="11"/>
    <n v="10"/>
    <n v="1"/>
    <n v="361.43"/>
    <x v="21"/>
    <n v="3614.3"/>
    <x v="4"/>
    <n v="325.28571428571399"/>
    <n v="361.43"/>
    <n v="1445.7200000000003"/>
  </r>
  <r>
    <x v="81"/>
    <x v="183"/>
    <x v="43"/>
    <x v="13"/>
    <n v="20"/>
    <n v="2"/>
    <n v="102.14"/>
    <x v="21"/>
    <n v="2042.8"/>
    <x v="4"/>
    <n v="92.86"/>
    <n v="102.14"/>
    <n v="817.12"/>
  </r>
  <r>
    <x v="86"/>
    <x v="184"/>
    <x v="43"/>
    <x v="13"/>
    <n v="10"/>
    <n v="1"/>
    <n v="102.14"/>
    <x v="21"/>
    <n v="1021.4"/>
    <x v="4"/>
    <n v="92.86"/>
    <n v="102.14"/>
    <n v="408.56"/>
  </r>
  <r>
    <x v="85"/>
    <x v="182"/>
    <x v="43"/>
    <x v="20"/>
    <n v="2"/>
    <n v="0"/>
    <n v="157.13999999999999"/>
    <x v="21"/>
    <n v="314.27999999999997"/>
    <x v="4"/>
    <n v="141.43"/>
    <n v="157.13999999999999"/>
    <n v="94.283999999999992"/>
  </r>
  <r>
    <x v="80"/>
    <x v="185"/>
    <x v="59"/>
    <x v="22"/>
    <n v="20"/>
    <n v="2"/>
    <n v="206.25"/>
    <x v="33"/>
    <n v="4125"/>
    <x v="4"/>
    <n v="185.5"/>
    <n v="206.25"/>
    <n v="1237.5"/>
  </r>
  <r>
    <x v="80"/>
    <x v="185"/>
    <x v="59"/>
    <x v="26"/>
    <n v="10"/>
    <n v="1"/>
    <n v="151.43"/>
    <x v="33"/>
    <n v="1514.3"/>
    <x v="4"/>
    <m/>
    <m/>
    <n v="454.28999999999996"/>
  </r>
  <r>
    <x v="90"/>
    <x v="186"/>
    <x v="60"/>
    <x v="7"/>
    <n v="5"/>
    <n v="0"/>
    <n v="171.43"/>
    <x v="34"/>
    <n v="857.15"/>
    <x v="4"/>
    <n v="154.29"/>
    <n v="171.43"/>
    <n v="257.14499999999998"/>
  </r>
  <r>
    <x v="85"/>
    <x v="187"/>
    <x v="60"/>
    <x v="2"/>
    <n v="3"/>
    <n v="0"/>
    <n v="146.31"/>
    <x v="34"/>
    <n v="438.93"/>
    <x v="4"/>
    <n v="131.68"/>
    <n v="146.31"/>
    <n v="131.679"/>
  </r>
  <r>
    <x v="85"/>
    <x v="187"/>
    <x v="60"/>
    <x v="2"/>
    <n v="2"/>
    <n v="0"/>
    <n v="146.31"/>
    <x v="34"/>
    <n v="292.62"/>
    <x v="4"/>
    <n v="131.68"/>
    <n v="146.31"/>
    <n v="87.786000000000001"/>
  </r>
  <r>
    <x v="85"/>
    <x v="187"/>
    <x v="60"/>
    <x v="20"/>
    <n v="5"/>
    <n v="0"/>
    <n v="157.13999999999999"/>
    <x v="34"/>
    <n v="785.7"/>
    <x v="4"/>
    <n v="141.43"/>
    <n v="157.13999999999999"/>
    <n v="235.71"/>
  </r>
  <r>
    <x v="90"/>
    <x v="186"/>
    <x v="60"/>
    <x v="3"/>
    <n v="5"/>
    <n v="0"/>
    <n v="155.74"/>
    <x v="34"/>
    <n v="778.7"/>
    <x v="4"/>
    <n v="140.13999999999999"/>
    <n v="155.71"/>
    <n v="233.61"/>
  </r>
  <r>
    <x v="81"/>
    <x v="188"/>
    <x v="39"/>
    <x v="2"/>
    <n v="10"/>
    <n v="0"/>
    <n v="146.31"/>
    <x v="21"/>
    <n v="1463.1"/>
    <x v="4"/>
    <n v="131.68"/>
    <n v="146.31"/>
    <n v="585.24"/>
  </r>
  <r>
    <x v="81"/>
    <x v="188"/>
    <x v="39"/>
    <x v="11"/>
    <n v="10"/>
    <n v="1"/>
    <n v="361.43"/>
    <x v="21"/>
    <n v="3614.3"/>
    <x v="4"/>
    <n v="325.28571428571399"/>
    <n v="361.43"/>
    <n v="1445.7200000000003"/>
  </r>
  <r>
    <x v="81"/>
    <x v="188"/>
    <x v="39"/>
    <x v="13"/>
    <n v="20"/>
    <n v="2"/>
    <n v="102.14"/>
    <x v="21"/>
    <n v="2042.8"/>
    <x v="4"/>
    <n v="92.86"/>
    <n v="102.14"/>
    <n v="817.12"/>
  </r>
  <r>
    <x v="81"/>
    <x v="189"/>
    <x v="61"/>
    <x v="7"/>
    <n v="20"/>
    <n v="2"/>
    <n v="171.43"/>
    <x v="35"/>
    <n v="3428.6"/>
    <x v="4"/>
    <n v="154.29"/>
    <n v="171.43"/>
    <n v="1028.58"/>
  </r>
  <r>
    <x v="95"/>
    <x v="190"/>
    <x v="62"/>
    <x v="5"/>
    <n v="5"/>
    <n v="0"/>
    <n v="60.94"/>
    <x v="2"/>
    <n v="304.7"/>
    <x v="4"/>
    <n v="50.79"/>
    <n v="56.43"/>
    <n v="91.41"/>
  </r>
  <r>
    <x v="96"/>
    <x v="191"/>
    <x v="62"/>
    <x v="5"/>
    <n v="10"/>
    <n v="1"/>
    <n v="60.94"/>
    <x v="2"/>
    <n v="609.4"/>
    <x v="4"/>
    <n v="50.79"/>
    <n v="56.43"/>
    <n v="182.82"/>
  </r>
  <r>
    <x v="92"/>
    <x v="192"/>
    <x v="62"/>
    <x v="5"/>
    <n v="10"/>
    <n v="1"/>
    <n v="60.94"/>
    <x v="2"/>
    <n v="609.4"/>
    <x v="4"/>
    <n v="50.79"/>
    <n v="56.43"/>
    <n v="182.82"/>
  </r>
  <r>
    <x v="91"/>
    <x v="193"/>
    <x v="62"/>
    <x v="12"/>
    <n v="10"/>
    <n v="1"/>
    <n v="50"/>
    <x v="2"/>
    <n v="500"/>
    <x v="4"/>
    <n v="45"/>
    <n v="50"/>
    <n v="150"/>
  </r>
  <r>
    <x v="84"/>
    <x v="194"/>
    <x v="62"/>
    <x v="12"/>
    <n v="10"/>
    <n v="1"/>
    <n v="50"/>
    <x v="2"/>
    <n v="500"/>
    <x v="4"/>
    <n v="45"/>
    <n v="50"/>
    <n v="150"/>
  </r>
  <r>
    <x v="91"/>
    <x v="193"/>
    <x v="62"/>
    <x v="13"/>
    <n v="10"/>
    <n v="1"/>
    <n v="102.14"/>
    <x v="2"/>
    <n v="1021.4"/>
    <x v="4"/>
    <n v="92.86"/>
    <n v="102.14"/>
    <n v="408.56"/>
  </r>
  <r>
    <x v="96"/>
    <x v="191"/>
    <x v="62"/>
    <x v="13"/>
    <n v="10"/>
    <n v="1"/>
    <n v="102.14"/>
    <x v="2"/>
    <n v="1021.4"/>
    <x v="4"/>
    <n v="92.86"/>
    <n v="102.14"/>
    <n v="408.56"/>
  </r>
  <r>
    <x v="84"/>
    <x v="194"/>
    <x v="62"/>
    <x v="13"/>
    <n v="10"/>
    <n v="1"/>
    <n v="102.14"/>
    <x v="2"/>
    <n v="1021.4"/>
    <x v="4"/>
    <n v="92.86"/>
    <n v="102.14"/>
    <n v="408.56"/>
  </r>
  <r>
    <x v="97"/>
    <x v="195"/>
    <x v="62"/>
    <x v="13"/>
    <n v="10"/>
    <n v="1"/>
    <n v="102.14"/>
    <x v="2"/>
    <n v="1021.4"/>
    <x v="4"/>
    <n v="92.86"/>
    <n v="102.14"/>
    <n v="408.56"/>
  </r>
  <r>
    <x v="79"/>
    <x v="196"/>
    <x v="62"/>
    <x v="13"/>
    <n v="10"/>
    <n v="1"/>
    <n v="102.14"/>
    <x v="2"/>
    <n v="1021.4"/>
    <x v="4"/>
    <n v="92.86"/>
    <n v="102.14"/>
    <n v="408.56"/>
  </r>
  <r>
    <x v="95"/>
    <x v="190"/>
    <x v="62"/>
    <x v="13"/>
    <n v="10"/>
    <n v="1"/>
    <n v="102.14"/>
    <x v="2"/>
    <n v="1021.4"/>
    <x v="4"/>
    <n v="92.86"/>
    <n v="102.14"/>
    <n v="408.56"/>
  </r>
  <r>
    <x v="98"/>
    <x v="197"/>
    <x v="62"/>
    <x v="20"/>
    <n v="2"/>
    <n v="0"/>
    <n v="157.13999999999999"/>
    <x v="2"/>
    <n v="314.27999999999997"/>
    <x v="4"/>
    <n v="141.43"/>
    <n v="157.13999999999999"/>
    <n v="94.283999999999992"/>
  </r>
  <r>
    <x v="81"/>
    <x v="198"/>
    <x v="21"/>
    <x v="4"/>
    <n v="5"/>
    <n v="0"/>
    <n v="55.79"/>
    <x v="36"/>
    <n v="278.95"/>
    <x v="4"/>
    <n v="50.21"/>
    <n v="55.79"/>
    <n v="83.684999999999988"/>
  </r>
  <r>
    <x v="81"/>
    <x v="198"/>
    <x v="21"/>
    <x v="5"/>
    <n v="5"/>
    <n v="0"/>
    <n v="56.43"/>
    <x v="36"/>
    <n v="282.14999999999998"/>
    <x v="4"/>
    <n v="50.79"/>
    <n v="56.43"/>
    <n v="84.644999999999996"/>
  </r>
  <r>
    <x v="98"/>
    <x v="199"/>
    <x v="21"/>
    <x v="3"/>
    <n v="3"/>
    <n v="0"/>
    <n v="155.74"/>
    <x v="36"/>
    <n v="467.22"/>
    <x v="4"/>
    <n v="140.13999999999999"/>
    <n v="155.71"/>
    <n v="140.166"/>
  </r>
  <r>
    <x v="87"/>
    <x v="200"/>
    <x v="22"/>
    <x v="13"/>
    <n v="10"/>
    <n v="1"/>
    <n v="102.14"/>
    <x v="37"/>
    <n v="1021.4"/>
    <x v="4"/>
    <n v="92.86"/>
    <n v="102.14"/>
    <n v="306.41999999999996"/>
  </r>
  <r>
    <x v="87"/>
    <x v="200"/>
    <x v="22"/>
    <x v="20"/>
    <n v="2"/>
    <n v="0"/>
    <n v="157.13999999999999"/>
    <x v="37"/>
    <n v="314.27999999999997"/>
    <x v="4"/>
    <n v="141.43"/>
    <n v="157.13999999999999"/>
    <n v="94.283999999999992"/>
  </r>
  <r>
    <x v="87"/>
    <x v="200"/>
    <x v="22"/>
    <x v="3"/>
    <n v="2"/>
    <n v="0"/>
    <n v="155.74"/>
    <x v="37"/>
    <n v="311.48"/>
    <x v="4"/>
    <n v="140.13999999999999"/>
    <n v="155.71"/>
    <n v="93.444000000000003"/>
  </r>
  <r>
    <x v="79"/>
    <x v="201"/>
    <x v="41"/>
    <x v="4"/>
    <n v="5"/>
    <n v="0"/>
    <n v="55.79"/>
    <x v="38"/>
    <n v="278.95"/>
    <x v="4"/>
    <n v="50.21"/>
    <n v="55.79"/>
    <n v="83.684999999999988"/>
  </r>
  <r>
    <x v="79"/>
    <x v="201"/>
    <x v="41"/>
    <x v="5"/>
    <n v="10"/>
    <n v="0"/>
    <n v="56.43"/>
    <x v="38"/>
    <n v="564.29999999999995"/>
    <x v="4"/>
    <n v="50.79"/>
    <n v="56.43"/>
    <n v="169.29"/>
  </r>
  <r>
    <x v="79"/>
    <x v="201"/>
    <x v="41"/>
    <x v="15"/>
    <n v="3"/>
    <n v="0"/>
    <n v="64.290000000000006"/>
    <x v="38"/>
    <n v="192.87"/>
    <x v="4"/>
    <n v="57.86"/>
    <n v="64.290000000000006"/>
    <n v="57.860999999999997"/>
  </r>
  <r>
    <x v="79"/>
    <x v="201"/>
    <x v="41"/>
    <x v="10"/>
    <n v="5"/>
    <n v="0"/>
    <n v="77.86"/>
    <x v="38"/>
    <n v="389.3"/>
    <x v="4"/>
    <n v="69.290000000000006"/>
    <n v="77.86"/>
    <n v="116.78999999999999"/>
  </r>
  <r>
    <x v="79"/>
    <x v="201"/>
    <x v="41"/>
    <x v="28"/>
    <n v="3"/>
    <n v="0"/>
    <n v="297"/>
    <x v="38"/>
    <n v="891"/>
    <x v="4"/>
    <m/>
    <m/>
    <n v="267.3"/>
  </r>
  <r>
    <x v="79"/>
    <x v="201"/>
    <x v="41"/>
    <x v="21"/>
    <n v="3"/>
    <n v="0"/>
    <n v="396"/>
    <x v="38"/>
    <n v="1188"/>
    <x v="4"/>
    <m/>
    <m/>
    <n v="356.4"/>
  </r>
  <r>
    <x v="80"/>
    <x v="202"/>
    <x v="42"/>
    <x v="7"/>
    <n v="10"/>
    <n v="1"/>
    <n v="171.43"/>
    <x v="39"/>
    <n v="1714.3"/>
    <x v="4"/>
    <n v="154.29"/>
    <n v="171.43"/>
    <n v="514.29"/>
  </r>
  <r>
    <x v="84"/>
    <x v="203"/>
    <x v="63"/>
    <x v="22"/>
    <n v="500"/>
    <n v="0"/>
    <n v="70"/>
    <x v="0"/>
    <n v="35000"/>
    <x v="4"/>
    <n v="185.5"/>
    <n v="206.25"/>
    <n v="0"/>
  </r>
  <r>
    <x v="89"/>
    <x v="204"/>
    <x v="63"/>
    <x v="22"/>
    <n v="500"/>
    <n v="0"/>
    <n v="70"/>
    <x v="0"/>
    <n v="35000"/>
    <x v="4"/>
    <n v="185.5"/>
    <n v="206.25"/>
    <n v="0"/>
  </r>
  <r>
    <x v="99"/>
    <x v="205"/>
    <x v="64"/>
    <x v="22"/>
    <n v="10"/>
    <n v="1"/>
    <n v="206.25"/>
    <x v="40"/>
    <n v="2062.5"/>
    <x v="4"/>
    <n v="185.5"/>
    <n v="206.25"/>
    <n v="618.75"/>
  </r>
  <r>
    <x v="99"/>
    <x v="205"/>
    <x v="64"/>
    <x v="29"/>
    <n v="10"/>
    <n v="1"/>
    <n v="178.55"/>
    <x v="40"/>
    <n v="1785.5"/>
    <x v="4"/>
    <m/>
    <m/>
    <n v="535.65"/>
  </r>
  <r>
    <x v="99"/>
    <x v="205"/>
    <x v="64"/>
    <x v="7"/>
    <n v="6"/>
    <n v="0"/>
    <n v="171.43"/>
    <x v="40"/>
    <n v="1028.58"/>
    <x v="4"/>
    <n v="154.29"/>
    <n v="171.43"/>
    <n v="308.57399999999996"/>
  </r>
  <r>
    <x v="99"/>
    <x v="205"/>
    <x v="64"/>
    <x v="2"/>
    <n v="10"/>
    <n v="1"/>
    <n v="146.31"/>
    <x v="40"/>
    <n v="1463.1"/>
    <x v="4"/>
    <n v="131.68"/>
    <n v="146.31"/>
    <n v="585.24"/>
  </r>
  <r>
    <x v="99"/>
    <x v="205"/>
    <x v="64"/>
    <x v="15"/>
    <n v="10"/>
    <n v="1"/>
    <n v="64.290000000000006"/>
    <x v="40"/>
    <n v="642.9"/>
    <x v="4"/>
    <n v="57.86"/>
    <n v="64.290000000000006"/>
    <n v="192.86999999999998"/>
  </r>
  <r>
    <x v="99"/>
    <x v="205"/>
    <x v="64"/>
    <x v="13"/>
    <n v="10"/>
    <n v="1"/>
    <n v="102.14"/>
    <x v="40"/>
    <n v="1021.4"/>
    <x v="4"/>
    <n v="92.86"/>
    <n v="102.14"/>
    <n v="408.56"/>
  </r>
  <r>
    <x v="99"/>
    <x v="205"/>
    <x v="64"/>
    <x v="20"/>
    <n v="4"/>
    <n v="0"/>
    <n v="157.13999999999999"/>
    <x v="40"/>
    <n v="628.55999999999995"/>
    <x v="4"/>
    <n v="141.43"/>
    <n v="157.13999999999999"/>
    <n v="188.56799999999998"/>
  </r>
  <r>
    <x v="84"/>
    <x v="206"/>
    <x v="65"/>
    <x v="0"/>
    <n v="200"/>
    <n v="0"/>
    <n v="9"/>
    <x v="21"/>
    <n v="1800"/>
    <x v="4"/>
    <n v="12.6"/>
    <n v="14"/>
    <n v="0"/>
  </r>
  <r>
    <x v="83"/>
    <x v="207"/>
    <x v="26"/>
    <x v="25"/>
    <n v="5"/>
    <n v="0"/>
    <n v="71.430000000000007"/>
    <x v="19"/>
    <n v="357.15"/>
    <x v="4"/>
    <m/>
    <m/>
    <n v="107.145"/>
  </r>
  <r>
    <x v="83"/>
    <x v="207"/>
    <x v="26"/>
    <x v="7"/>
    <n v="5"/>
    <n v="0"/>
    <n v="171.43"/>
    <x v="19"/>
    <n v="857.15"/>
    <x v="4"/>
    <n v="154.29"/>
    <n v="171.43"/>
    <n v="257.14499999999998"/>
  </r>
  <r>
    <x v="83"/>
    <x v="207"/>
    <x v="26"/>
    <x v="26"/>
    <n v="5"/>
    <n v="0"/>
    <n v="151.43"/>
    <x v="19"/>
    <n v="757.15"/>
    <x v="4"/>
    <m/>
    <m/>
    <n v="227.14499999999998"/>
  </r>
  <r>
    <x v="100"/>
    <x v="208"/>
    <x v="66"/>
    <x v="22"/>
    <n v="290"/>
    <n v="0"/>
    <n v="75"/>
    <x v="0"/>
    <n v="21750"/>
    <x v="4"/>
    <n v="185.5"/>
    <n v="206.25"/>
    <n v="0"/>
  </r>
  <r>
    <x v="80"/>
    <x v="209"/>
    <x v="66"/>
    <x v="22"/>
    <n v="500"/>
    <n v="0"/>
    <n v="75"/>
    <x v="0"/>
    <n v="37500"/>
    <x v="4"/>
    <n v="185.5"/>
    <n v="206.25"/>
    <n v="0"/>
  </r>
  <r>
    <x v="99"/>
    <x v="210"/>
    <x v="66"/>
    <x v="22"/>
    <n v="140"/>
    <n v="14"/>
    <n v="75"/>
    <x v="0"/>
    <n v="10500"/>
    <x v="4"/>
    <n v="185.5"/>
    <n v="206.25"/>
    <n v="0"/>
  </r>
  <r>
    <x v="84"/>
    <x v="211"/>
    <x v="66"/>
    <x v="22"/>
    <n v="280"/>
    <n v="0"/>
    <n v="75"/>
    <x v="0"/>
    <n v="21000"/>
    <x v="4"/>
    <n v="185.5"/>
    <n v="206.25"/>
    <n v="0"/>
  </r>
  <r>
    <x v="101"/>
    <x v="212"/>
    <x v="66"/>
    <x v="22"/>
    <n v="500"/>
    <n v="0"/>
    <n v="75"/>
    <x v="0"/>
    <n v="37500"/>
    <x v="4"/>
    <n v="185.5"/>
    <n v="206.25"/>
    <n v="0"/>
  </r>
  <r>
    <x v="89"/>
    <x v="213"/>
    <x v="66"/>
    <x v="22"/>
    <n v="190"/>
    <n v="0"/>
    <n v="75"/>
    <x v="0"/>
    <n v="14250"/>
    <x v="4"/>
    <n v="185.5"/>
    <n v="206.25"/>
    <n v="0"/>
  </r>
  <r>
    <x v="82"/>
    <x v="214"/>
    <x v="66"/>
    <x v="22"/>
    <n v="250"/>
    <n v="0"/>
    <n v="75"/>
    <x v="0"/>
    <n v="18750"/>
    <x v="4"/>
    <n v="185.5"/>
    <n v="206.25"/>
    <n v="0"/>
  </r>
  <r>
    <x v="79"/>
    <x v="215"/>
    <x v="67"/>
    <x v="8"/>
    <n v="100"/>
    <n v="0"/>
    <n v="20"/>
    <x v="41"/>
    <n v="2000"/>
    <x v="4"/>
    <n v="176.79"/>
    <n v="196.43"/>
    <n v="0"/>
  </r>
  <r>
    <x v="79"/>
    <x v="215"/>
    <x v="67"/>
    <x v="12"/>
    <n v="50"/>
    <n v="0"/>
    <n v="9"/>
    <x v="41"/>
    <n v="450"/>
    <x v="4"/>
    <n v="45"/>
    <n v="50"/>
    <n v="0"/>
  </r>
  <r>
    <x v="79"/>
    <x v="215"/>
    <x v="67"/>
    <x v="13"/>
    <n v="100"/>
    <n v="0"/>
    <n v="9.5"/>
    <x v="41"/>
    <n v="950"/>
    <x v="4"/>
    <n v="92.86"/>
    <n v="102.14"/>
    <n v="0"/>
  </r>
  <r>
    <x v="95"/>
    <x v="216"/>
    <x v="68"/>
    <x v="7"/>
    <n v="6"/>
    <n v="0"/>
    <n v="171.43"/>
    <x v="42"/>
    <n v="1028.58"/>
    <x v="4"/>
    <n v="154.29"/>
    <n v="171.43"/>
    <n v="308.57399999999996"/>
  </r>
  <r>
    <x v="91"/>
    <x v="217"/>
    <x v="69"/>
    <x v="7"/>
    <n v="10"/>
    <n v="1"/>
    <n v="171.43"/>
    <x v="43"/>
    <n v="1714.3"/>
    <x v="4"/>
    <n v="154.29"/>
    <n v="171.43"/>
    <n v="514.29"/>
  </r>
  <r>
    <x v="87"/>
    <x v="218"/>
    <x v="29"/>
    <x v="4"/>
    <n v="20"/>
    <n v="0"/>
    <n v="55.79"/>
    <x v="0"/>
    <n v="1115.8"/>
    <x v="4"/>
    <n v="50.21"/>
    <n v="55.79"/>
    <n v="0"/>
  </r>
  <r>
    <x v="87"/>
    <x v="218"/>
    <x v="29"/>
    <x v="5"/>
    <n v="40"/>
    <n v="4"/>
    <n v="56.43"/>
    <x v="0"/>
    <n v="2257.1999999999998"/>
    <x v="4"/>
    <n v="50.79"/>
    <n v="56.43"/>
    <n v="0"/>
  </r>
  <r>
    <x v="83"/>
    <x v="219"/>
    <x v="29"/>
    <x v="5"/>
    <n v="30"/>
    <n v="3"/>
    <n v="56.43"/>
    <x v="0"/>
    <n v="1692.9"/>
    <x v="4"/>
    <n v="50.79"/>
    <n v="56.43"/>
    <n v="0"/>
  </r>
  <r>
    <x v="80"/>
    <x v="220"/>
    <x v="29"/>
    <x v="22"/>
    <n v="10"/>
    <n v="1"/>
    <n v="206.25"/>
    <x v="0"/>
    <n v="2062.5"/>
    <x v="4"/>
    <n v="185.5"/>
    <n v="206.25"/>
    <n v="0"/>
  </r>
  <r>
    <x v="80"/>
    <x v="220"/>
    <x v="29"/>
    <x v="25"/>
    <n v="10"/>
    <n v="1"/>
    <n v="71.430000000000007"/>
    <x v="0"/>
    <n v="714.3"/>
    <x v="4"/>
    <m/>
    <m/>
    <n v="0"/>
  </r>
  <r>
    <x v="98"/>
    <x v="221"/>
    <x v="29"/>
    <x v="7"/>
    <n v="50"/>
    <n v="5"/>
    <n v="171.43"/>
    <x v="0"/>
    <n v="8571.5"/>
    <x v="4"/>
    <n v="154.29"/>
    <n v="171.43"/>
    <n v="0"/>
  </r>
  <r>
    <x v="84"/>
    <x v="222"/>
    <x v="29"/>
    <x v="7"/>
    <n v="100"/>
    <n v="10"/>
    <n v="171.43"/>
    <x v="0"/>
    <n v="17143"/>
    <x v="4"/>
    <n v="154.29"/>
    <n v="171.43"/>
    <n v="0"/>
  </r>
  <r>
    <x v="87"/>
    <x v="218"/>
    <x v="29"/>
    <x v="7"/>
    <n v="20"/>
    <n v="2"/>
    <n v="171.43"/>
    <x v="0"/>
    <n v="3428.6"/>
    <x v="4"/>
    <n v="154.29"/>
    <n v="171.43"/>
    <n v="0"/>
  </r>
  <r>
    <x v="98"/>
    <x v="221"/>
    <x v="29"/>
    <x v="2"/>
    <n v="50"/>
    <n v="5"/>
    <n v="146.31"/>
    <x v="0"/>
    <n v="7315.5"/>
    <x v="4"/>
    <n v="131.68"/>
    <n v="146.31"/>
    <n v="0"/>
  </r>
  <r>
    <x v="84"/>
    <x v="222"/>
    <x v="29"/>
    <x v="2"/>
    <n v="100"/>
    <n v="10"/>
    <n v="146.31"/>
    <x v="0"/>
    <n v="14631"/>
    <x v="4"/>
    <n v="131.68"/>
    <n v="146.31"/>
    <n v="0"/>
  </r>
  <r>
    <x v="80"/>
    <x v="220"/>
    <x v="29"/>
    <x v="26"/>
    <n v="20"/>
    <n v="2"/>
    <n v="151.43"/>
    <x v="0"/>
    <n v="3028.6"/>
    <x v="4"/>
    <m/>
    <m/>
    <n v="0"/>
  </r>
  <r>
    <x v="95"/>
    <x v="223"/>
    <x v="29"/>
    <x v="8"/>
    <n v="33"/>
    <n v="0"/>
    <n v="196.43"/>
    <x v="0"/>
    <n v="6482.19"/>
    <x v="4"/>
    <n v="176.79"/>
    <n v="196.43"/>
    <n v="0"/>
  </r>
  <r>
    <x v="84"/>
    <x v="222"/>
    <x v="29"/>
    <x v="8"/>
    <n v="20"/>
    <n v="2"/>
    <n v="196.43"/>
    <x v="0"/>
    <n v="3928.6"/>
    <x v="4"/>
    <n v="176.79"/>
    <n v="196.43"/>
    <n v="0"/>
  </r>
  <r>
    <x v="83"/>
    <x v="219"/>
    <x v="29"/>
    <x v="15"/>
    <n v="10"/>
    <n v="0"/>
    <n v="64.290000000000006"/>
    <x v="0"/>
    <n v="642.9"/>
    <x v="4"/>
    <n v="57.86"/>
    <n v="64.290000000000006"/>
    <n v="0"/>
  </r>
  <r>
    <x v="95"/>
    <x v="223"/>
    <x v="29"/>
    <x v="0"/>
    <n v="90"/>
    <n v="0"/>
    <n v="12"/>
    <x v="0"/>
    <n v="1080"/>
    <x v="4"/>
    <n v="12.6"/>
    <n v="14"/>
    <n v="0"/>
  </r>
  <r>
    <x v="83"/>
    <x v="219"/>
    <x v="29"/>
    <x v="0"/>
    <n v="60"/>
    <n v="0"/>
    <n v="12"/>
    <x v="0"/>
    <n v="720"/>
    <x v="4"/>
    <n v="12.6"/>
    <n v="14"/>
    <n v="0"/>
  </r>
  <r>
    <x v="98"/>
    <x v="221"/>
    <x v="29"/>
    <x v="27"/>
    <n v="50"/>
    <n v="5"/>
    <n v="125"/>
    <x v="0"/>
    <n v="6250"/>
    <x v="4"/>
    <m/>
    <m/>
    <n v="0"/>
  </r>
  <r>
    <x v="84"/>
    <x v="222"/>
    <x v="29"/>
    <x v="27"/>
    <n v="50"/>
    <n v="5"/>
    <n v="125"/>
    <x v="0"/>
    <n v="6250"/>
    <x v="4"/>
    <m/>
    <m/>
    <n v="0"/>
  </r>
  <r>
    <x v="98"/>
    <x v="221"/>
    <x v="29"/>
    <x v="10"/>
    <n v="100"/>
    <n v="10"/>
    <n v="77.86"/>
    <x v="0"/>
    <n v="7786"/>
    <x v="4"/>
    <n v="69.290000000000006"/>
    <n v="77.86"/>
    <n v="0"/>
  </r>
  <r>
    <x v="84"/>
    <x v="222"/>
    <x v="29"/>
    <x v="10"/>
    <n v="30"/>
    <n v="3"/>
    <n v="69.290000000000006"/>
    <x v="0"/>
    <n v="2078.6999999999998"/>
    <x v="4"/>
    <n v="69.290000000000006"/>
    <n v="77.86"/>
    <n v="0"/>
  </r>
  <r>
    <x v="81"/>
    <x v="224"/>
    <x v="29"/>
    <x v="11"/>
    <n v="33"/>
    <n v="0"/>
    <n v="361.43"/>
    <x v="0"/>
    <n v="11927.19"/>
    <x v="4"/>
    <n v="325.28571428571399"/>
    <n v="361.43"/>
    <n v="0"/>
  </r>
  <r>
    <x v="95"/>
    <x v="223"/>
    <x v="29"/>
    <x v="11"/>
    <n v="12"/>
    <n v="0"/>
    <n v="361.43"/>
    <x v="0"/>
    <n v="4337.16"/>
    <x v="4"/>
    <n v="325.28571428571399"/>
    <n v="361.43"/>
    <n v="0"/>
  </r>
  <r>
    <x v="95"/>
    <x v="223"/>
    <x v="29"/>
    <x v="12"/>
    <n v="22"/>
    <n v="0"/>
    <n v="50"/>
    <x v="0"/>
    <n v="1100"/>
    <x v="4"/>
    <n v="45"/>
    <n v="50"/>
    <n v="0"/>
  </r>
  <r>
    <x v="87"/>
    <x v="218"/>
    <x v="29"/>
    <x v="12"/>
    <n v="9"/>
    <n v="0"/>
    <n v="50"/>
    <x v="0"/>
    <n v="450"/>
    <x v="4"/>
    <n v="45"/>
    <n v="50"/>
    <n v="0"/>
  </r>
  <r>
    <x v="95"/>
    <x v="223"/>
    <x v="29"/>
    <x v="13"/>
    <n v="50"/>
    <n v="5"/>
    <n v="102.14"/>
    <x v="0"/>
    <n v="5107"/>
    <x v="4"/>
    <n v="92.86"/>
    <n v="102.14"/>
    <n v="0"/>
  </r>
  <r>
    <x v="87"/>
    <x v="218"/>
    <x v="29"/>
    <x v="13"/>
    <n v="50"/>
    <n v="5"/>
    <n v="102.14"/>
    <x v="0"/>
    <n v="5107"/>
    <x v="4"/>
    <n v="92.86"/>
    <n v="102.14"/>
    <n v="0"/>
  </r>
  <r>
    <x v="83"/>
    <x v="219"/>
    <x v="29"/>
    <x v="13"/>
    <n v="50"/>
    <n v="5"/>
    <n v="102.14"/>
    <x v="0"/>
    <n v="5107"/>
    <x v="4"/>
    <n v="92.86"/>
    <n v="102.14"/>
    <n v="0"/>
  </r>
  <r>
    <x v="84"/>
    <x v="222"/>
    <x v="29"/>
    <x v="20"/>
    <n v="20"/>
    <n v="2"/>
    <n v="157.13999999999999"/>
    <x v="0"/>
    <n v="3142.8"/>
    <x v="4"/>
    <n v="141.43"/>
    <n v="157.13999999999999"/>
    <n v="0"/>
  </r>
  <r>
    <x v="83"/>
    <x v="219"/>
    <x v="29"/>
    <x v="28"/>
    <n v="10"/>
    <n v="0"/>
    <n v="297"/>
    <x v="0"/>
    <n v="2970"/>
    <x v="4"/>
    <m/>
    <m/>
    <n v="0"/>
  </r>
  <r>
    <x v="84"/>
    <x v="222"/>
    <x v="29"/>
    <x v="21"/>
    <n v="10"/>
    <n v="1"/>
    <n v="372.88"/>
    <x v="0"/>
    <n v="3728.8"/>
    <x v="4"/>
    <m/>
    <m/>
    <n v="0"/>
  </r>
  <r>
    <x v="83"/>
    <x v="219"/>
    <x v="29"/>
    <x v="21"/>
    <n v="10"/>
    <n v="0"/>
    <n v="396"/>
    <x v="0"/>
    <n v="3960"/>
    <x v="4"/>
    <m/>
    <m/>
    <n v="0"/>
  </r>
  <r>
    <x v="84"/>
    <x v="222"/>
    <x v="29"/>
    <x v="24"/>
    <n v="20"/>
    <n v="2"/>
    <n v="64.290000000000006"/>
    <x v="0"/>
    <n v="1285.8"/>
    <x v="4"/>
    <m/>
    <m/>
    <n v="0"/>
  </r>
  <r>
    <x v="83"/>
    <x v="219"/>
    <x v="29"/>
    <x v="24"/>
    <n v="20"/>
    <n v="2"/>
    <n v="64.290000000000006"/>
    <x v="0"/>
    <n v="1285.8"/>
    <x v="4"/>
    <m/>
    <m/>
    <n v="0"/>
  </r>
  <r>
    <x v="102"/>
    <x v="225"/>
    <x v="70"/>
    <x v="7"/>
    <n v="10"/>
    <n v="1"/>
    <n v="171.43"/>
    <x v="44"/>
    <n v="1714.3"/>
    <x v="4"/>
    <n v="154.29"/>
    <n v="171.43"/>
    <n v="514.29"/>
  </r>
  <r>
    <x v="97"/>
    <x v="226"/>
    <x v="71"/>
    <x v="21"/>
    <n v="50"/>
    <n v="0"/>
    <n v="396"/>
    <x v="45"/>
    <n v="19800"/>
    <x v="4"/>
    <m/>
    <m/>
    <n v="5940"/>
  </r>
  <r>
    <x v="102"/>
    <x v="227"/>
    <x v="72"/>
    <x v="2"/>
    <n v="5"/>
    <n v="0"/>
    <n v="146.31"/>
    <x v="46"/>
    <n v="731.55"/>
    <x v="4"/>
    <n v="131.68"/>
    <n v="146.31"/>
    <n v="292.62"/>
  </r>
  <r>
    <x v="102"/>
    <x v="227"/>
    <x v="72"/>
    <x v="8"/>
    <n v="5"/>
    <n v="0"/>
    <n v="196.43"/>
    <x v="46"/>
    <n v="982.15"/>
    <x v="4"/>
    <n v="176.79"/>
    <n v="196.43"/>
    <n v="294.64499999999998"/>
  </r>
  <r>
    <x v="102"/>
    <x v="227"/>
    <x v="72"/>
    <x v="12"/>
    <n v="5"/>
    <n v="0"/>
    <n v="50"/>
    <x v="46"/>
    <n v="250"/>
    <x v="4"/>
    <n v="45"/>
    <n v="50"/>
    <n v="75"/>
  </r>
  <r>
    <x v="102"/>
    <x v="227"/>
    <x v="72"/>
    <x v="14"/>
    <n v="5"/>
    <n v="0"/>
    <n v="109.29"/>
    <x v="46"/>
    <n v="546.45000000000005"/>
    <x v="4"/>
    <n v="98.36"/>
    <n v="109.29"/>
    <n v="163.935"/>
  </r>
  <r>
    <x v="86"/>
    <x v="228"/>
    <x v="73"/>
    <x v="0"/>
    <n v="30"/>
    <n v="0"/>
    <n v="14"/>
    <x v="2"/>
    <n v="420"/>
    <x v="4"/>
    <n v="12.6"/>
    <n v="14"/>
    <n v="0"/>
  </r>
  <r>
    <x v="87"/>
    <x v="229"/>
    <x v="73"/>
    <x v="0"/>
    <n v="30"/>
    <n v="0"/>
    <n v="14"/>
    <x v="2"/>
    <n v="420"/>
    <x v="4"/>
    <n v="12.6"/>
    <n v="14"/>
    <n v="0"/>
  </r>
  <r>
    <x v="91"/>
    <x v="230"/>
    <x v="73"/>
    <x v="0"/>
    <n v="30"/>
    <n v="0"/>
    <n v="14"/>
    <x v="2"/>
    <n v="420"/>
    <x v="4"/>
    <n v="12.6"/>
    <n v="14"/>
    <n v="0"/>
  </r>
  <r>
    <x v="94"/>
    <x v="231"/>
    <x v="73"/>
    <x v="0"/>
    <n v="30"/>
    <n v="0"/>
    <n v="14"/>
    <x v="2"/>
    <n v="420"/>
    <x v="4"/>
    <n v="12.6"/>
    <n v="14"/>
    <n v="0"/>
  </r>
  <r>
    <x v="98"/>
    <x v="232"/>
    <x v="73"/>
    <x v="0"/>
    <n v="30"/>
    <n v="0"/>
    <n v="14"/>
    <x v="2"/>
    <n v="420"/>
    <x v="4"/>
    <n v="12.6"/>
    <n v="14"/>
    <n v="0"/>
  </r>
  <r>
    <x v="97"/>
    <x v="233"/>
    <x v="73"/>
    <x v="0"/>
    <n v="60"/>
    <n v="0"/>
    <n v="14"/>
    <x v="2"/>
    <n v="840"/>
    <x v="4"/>
    <n v="12.6"/>
    <n v="14"/>
    <n v="0"/>
  </r>
  <r>
    <x v="84"/>
    <x v="234"/>
    <x v="73"/>
    <x v="0"/>
    <n v="30"/>
    <n v="0"/>
    <n v="14"/>
    <x v="2"/>
    <n v="420"/>
    <x v="4"/>
    <n v="12.6"/>
    <n v="14"/>
    <n v="0"/>
  </r>
  <r>
    <x v="81"/>
    <x v="235"/>
    <x v="73"/>
    <x v="0"/>
    <n v="20"/>
    <n v="0"/>
    <n v="14"/>
    <x v="2"/>
    <n v="280"/>
    <x v="4"/>
    <n v="12.6"/>
    <n v="14"/>
    <n v="0"/>
  </r>
  <r>
    <x v="81"/>
    <x v="235"/>
    <x v="73"/>
    <x v="0"/>
    <n v="10"/>
    <n v="0"/>
    <n v="14"/>
    <x v="2"/>
    <n v="140"/>
    <x v="4"/>
    <n v="12.6"/>
    <n v="14"/>
    <n v="0"/>
  </r>
  <r>
    <x v="83"/>
    <x v="236"/>
    <x v="73"/>
    <x v="0"/>
    <n v="30"/>
    <n v="0"/>
    <n v="14"/>
    <x v="2"/>
    <n v="420"/>
    <x v="4"/>
    <n v="12.6"/>
    <n v="14"/>
    <n v="0"/>
  </r>
  <r>
    <x v="92"/>
    <x v="237"/>
    <x v="73"/>
    <x v="0"/>
    <n v="30"/>
    <n v="0"/>
    <n v="14"/>
    <x v="2"/>
    <n v="420"/>
    <x v="4"/>
    <n v="12.6"/>
    <n v="14"/>
    <n v="0"/>
  </r>
  <r>
    <x v="79"/>
    <x v="238"/>
    <x v="73"/>
    <x v="0"/>
    <n v="30"/>
    <n v="0"/>
    <n v="14"/>
    <x v="2"/>
    <n v="420"/>
    <x v="4"/>
    <n v="12.6"/>
    <n v="14"/>
    <n v="0"/>
  </r>
  <r>
    <x v="88"/>
    <x v="239"/>
    <x v="73"/>
    <x v="0"/>
    <n v="30"/>
    <n v="0"/>
    <n v="14"/>
    <x v="2"/>
    <n v="420"/>
    <x v="4"/>
    <n v="12.6"/>
    <n v="14"/>
    <n v="0"/>
  </r>
  <r>
    <x v="87"/>
    <x v="229"/>
    <x v="73"/>
    <x v="3"/>
    <n v="10"/>
    <n v="1"/>
    <n v="155.71"/>
    <x v="2"/>
    <n v="1557.1"/>
    <x v="4"/>
    <n v="140.13999999999999"/>
    <n v="155.71"/>
    <n v="467.12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4" minRefreshableVersion="3" showDrill="0" useAutoFormatting="1" itemPrintTitles="1" createdVersion="8" indent="0" compact="0" compactData="0" gridDropZones="1" chartFormat="1">
  <location ref="A4:G11" firstHeaderRow="1" firstDataRow="2" firstDataCol="4" rowPageCount="2" colPageCount="1"/>
  <pivotFields count="13">
    <pivotField axis="axisRow" compact="0" outline="0" showAll="0" defaultSubtotal="0">
      <items count="103">
        <item x="19"/>
        <item x="13"/>
        <item x="7"/>
        <item x="20"/>
        <item x="5"/>
        <item x="18"/>
        <item x="6"/>
        <item x="14"/>
        <item x="15"/>
        <item x="1"/>
        <item x="4"/>
        <item x="9"/>
        <item x="8"/>
        <item x="10"/>
        <item x="0"/>
        <item x="17"/>
        <item x="2"/>
        <item x="12"/>
        <item x="11"/>
        <item x="16"/>
        <item x="21"/>
        <item x="22"/>
        <item x="23"/>
        <item x="24"/>
        <item x="25"/>
        <item x="26"/>
        <item x="27"/>
        <item x="28"/>
        <item x="29"/>
        <item x="30"/>
        <item x="31"/>
        <item x="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</items>
    </pivotField>
    <pivotField axis="axisRow" compact="0" outline="0" showAll="0" defaultSubtotal="0">
      <items count="240">
        <item x="37"/>
        <item x="24"/>
        <item x="40"/>
        <item x="15"/>
        <item x="38"/>
        <item x="33"/>
        <item x="30"/>
        <item x="16"/>
        <item x="34"/>
        <item x="1"/>
        <item x="31"/>
        <item x="39"/>
        <item x="13"/>
        <item x="4"/>
        <item x="9"/>
        <item x="26"/>
        <item x="17"/>
        <item x="8"/>
        <item x="29"/>
        <item x="10"/>
        <item x="27"/>
        <item x="0"/>
        <item x="32"/>
        <item x="19"/>
        <item x="2"/>
        <item x="12"/>
        <item x="28"/>
        <item x="11"/>
        <item x="18"/>
        <item x="23"/>
        <item x="21"/>
        <item x="36"/>
        <item x="14"/>
        <item x="7"/>
        <item x="22"/>
        <item x="3"/>
        <item x="35"/>
        <item x="25"/>
        <item x="5"/>
        <item x="20"/>
        <item x="6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</items>
    </pivotField>
    <pivotField axis="axisRow" compact="0" outline="0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0"/>
        <item x="21"/>
        <item x="22"/>
        <item x="23"/>
        <item x="24"/>
        <item x="25"/>
        <item x="26"/>
        <item x="27"/>
        <item x="28"/>
        <item x="29"/>
        <item x="73"/>
        <item x="31"/>
        <item x="32"/>
        <item x="33"/>
        <item x="34"/>
        <item x="35"/>
        <item x="36"/>
        <item x="37"/>
        <item x="38"/>
        <item x="39"/>
        <item x="62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compact="0" outline="0" showAll="0">
      <items count="31">
        <item x="4"/>
        <item x="5"/>
        <item x="6"/>
        <item x="7"/>
        <item x="1"/>
        <item x="8"/>
        <item x="9"/>
        <item x="0"/>
        <item x="10"/>
        <item x="12"/>
        <item x="13"/>
        <item x="3"/>
        <item x="14"/>
        <item x="2"/>
        <item x="15"/>
        <item x="16"/>
        <item x="17"/>
        <item x="18"/>
        <item x="19"/>
        <item x="20"/>
        <item x="11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numFmtId="1" outline="0" showAll="0"/>
    <pivotField compact="0" numFmtId="1" outline="0" showAll="0"/>
    <pivotField compact="0" outline="0" showAll="0"/>
    <pivotField axis="axisPage" compact="0" outline="0" showAll="0">
      <items count="59">
        <item x="2"/>
        <item x="1"/>
        <item x="0"/>
        <item m="1" x="53"/>
        <item m="1" x="50"/>
        <item m="1" x="47"/>
        <item m="1" x="51"/>
        <item x="10"/>
        <item m="1" x="56"/>
        <item x="15"/>
        <item x="17"/>
        <item x="18"/>
        <item x="7"/>
        <item x="16"/>
        <item x="19"/>
        <item x="11"/>
        <item x="13"/>
        <item x="14"/>
        <item m="1" x="48"/>
        <item x="20"/>
        <item m="1" x="55"/>
        <item m="1" x="57"/>
        <item x="21"/>
        <item x="22"/>
        <item x="4"/>
        <item x="23"/>
        <item x="24"/>
        <item x="25"/>
        <item x="8"/>
        <item x="5"/>
        <item x="6"/>
        <item x="26"/>
        <item x="9"/>
        <item x="12"/>
        <item x="27"/>
        <item x="28"/>
        <item x="3"/>
        <item x="29"/>
        <item x="30"/>
        <item x="31"/>
        <item x="32"/>
        <item m="1" x="54"/>
        <item x="33"/>
        <item x="34"/>
        <item x="35"/>
        <item x="36"/>
        <item x="37"/>
        <item x="38"/>
        <item x="39"/>
        <item x="40"/>
        <item m="1" x="52"/>
        <item m="1" x="49"/>
        <item x="41"/>
        <item x="42"/>
        <item x="43"/>
        <item x="44"/>
        <item x="45"/>
        <item x="46"/>
        <item t="default"/>
      </items>
    </pivotField>
    <pivotField dataField="1" compact="0" outline="0" showAll="0"/>
    <pivotField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compact="0" outline="0" showAll="0"/>
    <pivotField compact="0" numFmtId="2" outline="0" showAll="0"/>
    <pivotField dataField="1" compact="0" outline="0" showAll="0"/>
  </pivotFields>
  <rowFields count="4">
    <field x="2"/>
    <field x="0"/>
    <field x="1"/>
    <field x="3"/>
  </rowFields>
  <rowItems count="6">
    <i>
      <x v="62"/>
      <x v="85"/>
      <x v="187"/>
      <x v="13"/>
    </i>
    <i r="3">
      <x v="19"/>
    </i>
    <i r="1">
      <x v="90"/>
      <x v="186"/>
      <x v="3"/>
    </i>
    <i r="3">
      <x v="11"/>
    </i>
    <i t="default">
      <x v="6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item="43" hier="-1"/>
    <pageField fld="9" hier="-1"/>
  </pageFields>
  <dataFields count="3">
    <dataField name="Sum of Qty   " fld="4" baseField="0" baseItem="0" numFmtId="1"/>
    <dataField name="Sum of Amount" fld="8" baseField="0" baseItem="0" numFmtId="2"/>
    <dataField name="Sum of Commission" fld="12" baseField="0" baseItem="0" numFmtId="2"/>
  </dataFields>
  <formats count="3">
    <format dxfId="2">
      <pivotArea field="2" grandRow="1" outline="0" axis="axisRow" fieldPosition="0">
        <references count="1">
          <reference field="4294967294" count="1" selected="0">
            <x v="2"/>
          </reference>
        </references>
      </pivotArea>
    </format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outline="0" fieldPosition="0">
        <references count="1">
          <reference field="4294967294" count="1" selected="0"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tabColor rgb="FFFF0000"/>
  </sheetPr>
  <dimension ref="A1:W416"/>
  <sheetViews>
    <sheetView tabSelected="1" workbookViewId="0">
      <selection activeCell="I79" sqref="I79"/>
    </sheetView>
  </sheetViews>
  <sheetFormatPr baseColWidth="10" defaultColWidth="8.83203125" defaultRowHeight="15" x14ac:dyDescent="0.2"/>
  <cols>
    <col min="1" max="1" width="10.33203125" style="56" bestFit="1" customWidth="1"/>
    <col min="2" max="2" width="12.5" style="93" customWidth="1"/>
    <col min="3" max="3" width="62" style="56" bestFit="1" customWidth="1"/>
    <col min="4" max="4" width="24.5" style="56" customWidth="1"/>
    <col min="5" max="5" width="10.1640625" style="56" bestFit="1" customWidth="1"/>
    <col min="8" max="8" width="28.6640625" style="69" customWidth="1"/>
    <col min="9" max="9" width="8.83203125" style="56"/>
    <col min="10" max="11" width="8.83203125" style="9"/>
    <col min="12" max="12" width="8.83203125" style="56"/>
    <col min="13" max="13" width="13.1640625" style="13" customWidth="1"/>
    <col min="14" max="14" width="8" customWidth="1"/>
    <col min="19" max="19" width="11.83203125" customWidth="1"/>
  </cols>
  <sheetData>
    <row r="1" spans="1:23" ht="48" x14ac:dyDescent="0.2">
      <c r="A1" s="50" t="s">
        <v>14</v>
      </c>
      <c r="B1" s="87" t="s">
        <v>26</v>
      </c>
      <c r="C1" s="50" t="s">
        <v>15</v>
      </c>
      <c r="D1" s="61" t="s">
        <v>0</v>
      </c>
      <c r="E1" s="61" t="s">
        <v>64</v>
      </c>
      <c r="F1" s="2" t="s">
        <v>65</v>
      </c>
      <c r="G1" s="2" t="s">
        <v>90</v>
      </c>
      <c r="H1" s="67" t="s">
        <v>71</v>
      </c>
      <c r="I1" s="61" t="s">
        <v>1</v>
      </c>
      <c r="J1" s="10" t="s">
        <v>16</v>
      </c>
      <c r="K1" s="15" t="s">
        <v>79</v>
      </c>
      <c r="L1" s="61" t="s">
        <v>66</v>
      </c>
      <c r="M1" s="32" t="s">
        <v>67</v>
      </c>
      <c r="N1" s="3" t="s">
        <v>80</v>
      </c>
      <c r="O1" s="16" t="s">
        <v>81</v>
      </c>
      <c r="P1" s="16" t="s">
        <v>84</v>
      </c>
      <c r="Q1" s="17" t="s">
        <v>82</v>
      </c>
      <c r="R1" s="17" t="s">
        <v>83</v>
      </c>
      <c r="S1" s="18" t="s">
        <v>85</v>
      </c>
    </row>
    <row r="2" spans="1:23" ht="16" hidden="1" x14ac:dyDescent="0.2">
      <c r="A2" s="51">
        <v>45829</v>
      </c>
      <c r="B2" s="88" t="s">
        <v>21</v>
      </c>
      <c r="C2" s="57" t="s">
        <v>17</v>
      </c>
      <c r="D2" s="57" t="s">
        <v>2</v>
      </c>
      <c r="E2" s="62">
        <v>10</v>
      </c>
      <c r="F2" s="5">
        <v>0</v>
      </c>
      <c r="G2" s="5"/>
      <c r="H2" s="68" t="s">
        <v>60</v>
      </c>
      <c r="I2" s="76">
        <v>120</v>
      </c>
      <c r="J2" s="11" t="s">
        <v>78</v>
      </c>
      <c r="K2" s="6">
        <v>10.8</v>
      </c>
      <c r="L2" s="76">
        <v>12</v>
      </c>
      <c r="M2" s="12">
        <v>0</v>
      </c>
      <c r="N2" s="6"/>
      <c r="O2" s="19">
        <f t="shared" ref="O2" si="0">K2-K2*10%</f>
        <v>9.7200000000000006</v>
      </c>
      <c r="P2" s="19">
        <f>O2-O2*30%</f>
        <v>6.8040000000000003</v>
      </c>
      <c r="Q2" s="6">
        <v>6.75</v>
      </c>
      <c r="R2" s="24">
        <f>P2-Q2</f>
        <v>5.400000000000027E-2</v>
      </c>
      <c r="S2" s="25">
        <f>E2*R2</f>
        <v>0.5400000000000027</v>
      </c>
    </row>
    <row r="3" spans="1:23" ht="16" hidden="1" x14ac:dyDescent="0.2">
      <c r="A3" s="51">
        <v>45817</v>
      </c>
      <c r="B3" s="88" t="s">
        <v>22</v>
      </c>
      <c r="C3" s="57" t="s">
        <v>18</v>
      </c>
      <c r="D3" s="57" t="s">
        <v>62</v>
      </c>
      <c r="E3" s="62">
        <v>5</v>
      </c>
      <c r="F3" s="5">
        <v>0</v>
      </c>
      <c r="G3" s="5"/>
      <c r="H3" s="68" t="s">
        <v>61</v>
      </c>
      <c r="I3" s="76">
        <v>857.15</v>
      </c>
      <c r="J3" s="11" t="s">
        <v>78</v>
      </c>
      <c r="K3" s="19">
        <v>154.29</v>
      </c>
      <c r="L3" s="76">
        <v>171.43</v>
      </c>
      <c r="M3" s="12">
        <f>I3*30%</f>
        <v>257.14499999999998</v>
      </c>
      <c r="N3" s="6"/>
      <c r="O3" s="19">
        <f t="shared" ref="O3:O66" si="1">K3-K3*10%</f>
        <v>138.86099999999999</v>
      </c>
      <c r="P3" s="19">
        <f t="shared" ref="P3:P5" si="2">O3-O3*30%</f>
        <v>97.202699999999993</v>
      </c>
      <c r="Q3" s="6">
        <v>17</v>
      </c>
      <c r="R3" s="24">
        <f t="shared" ref="R3:R66" si="3">P3-Q3</f>
        <v>80.202699999999993</v>
      </c>
      <c r="S3" s="25">
        <f t="shared" ref="S3:S66" si="4">E3*R3</f>
        <v>401.01349999999996</v>
      </c>
    </row>
    <row r="4" spans="1:23" ht="16" hidden="1" x14ac:dyDescent="0.2">
      <c r="A4" s="51">
        <v>45817</v>
      </c>
      <c r="B4" s="88" t="s">
        <v>22</v>
      </c>
      <c r="C4" s="57" t="s">
        <v>18</v>
      </c>
      <c r="D4" s="59" t="s">
        <v>94</v>
      </c>
      <c r="E4" s="62">
        <v>5</v>
      </c>
      <c r="F4" s="5">
        <v>0</v>
      </c>
      <c r="G4" s="5"/>
      <c r="H4" s="68" t="s">
        <v>61</v>
      </c>
      <c r="I4" s="76">
        <v>731.55</v>
      </c>
      <c r="J4" s="11" t="s">
        <v>78</v>
      </c>
      <c r="K4" s="19">
        <v>131.68</v>
      </c>
      <c r="L4" s="76">
        <v>146.31</v>
      </c>
      <c r="M4" s="12">
        <f>I4*30%</f>
        <v>219.46499999999997</v>
      </c>
      <c r="N4" s="6"/>
      <c r="O4" s="19">
        <f t="shared" si="1"/>
        <v>118.512</v>
      </c>
      <c r="P4" s="19">
        <f t="shared" si="2"/>
        <v>82.958400000000012</v>
      </c>
      <c r="Q4" s="6">
        <v>47.5</v>
      </c>
      <c r="R4" s="24">
        <f t="shared" si="3"/>
        <v>35.458400000000012</v>
      </c>
      <c r="S4" s="25">
        <f t="shared" si="4"/>
        <v>177.29200000000006</v>
      </c>
    </row>
    <row r="5" spans="1:23" ht="16" hidden="1" x14ac:dyDescent="0.2">
      <c r="A5" s="51">
        <v>45817</v>
      </c>
      <c r="B5" s="88" t="s">
        <v>22</v>
      </c>
      <c r="C5" s="57" t="s">
        <v>18</v>
      </c>
      <c r="D5" s="57" t="s">
        <v>3</v>
      </c>
      <c r="E5" s="62">
        <v>5</v>
      </c>
      <c r="F5" s="5">
        <v>0</v>
      </c>
      <c r="G5" s="5"/>
      <c r="H5" s="68" t="s">
        <v>61</v>
      </c>
      <c r="I5" s="76">
        <v>778.55</v>
      </c>
      <c r="J5" s="11" t="s">
        <v>78</v>
      </c>
      <c r="K5" s="19">
        <v>140.13999999999999</v>
      </c>
      <c r="L5" s="76">
        <v>155.71</v>
      </c>
      <c r="M5" s="12">
        <f>I5*30%</f>
        <v>233.56499999999997</v>
      </c>
      <c r="N5" s="6"/>
      <c r="O5" s="19">
        <f t="shared" si="1"/>
        <v>126.12599999999999</v>
      </c>
      <c r="P5" s="19">
        <f t="shared" si="2"/>
        <v>88.288199999999989</v>
      </c>
      <c r="Q5" s="6">
        <v>9</v>
      </c>
      <c r="R5" s="24">
        <f t="shared" si="3"/>
        <v>79.288199999999989</v>
      </c>
      <c r="S5" s="25">
        <f t="shared" si="4"/>
        <v>396.44099999999992</v>
      </c>
    </row>
    <row r="6" spans="1:23" ht="16" hidden="1" x14ac:dyDescent="0.2">
      <c r="A6" s="51">
        <v>45833</v>
      </c>
      <c r="B6" s="88" t="s">
        <v>27</v>
      </c>
      <c r="C6" s="57" t="s">
        <v>19</v>
      </c>
      <c r="D6" s="57" t="s">
        <v>4</v>
      </c>
      <c r="E6" s="62">
        <v>20</v>
      </c>
      <c r="F6" s="5">
        <v>0</v>
      </c>
      <c r="G6" s="5"/>
      <c r="H6" s="68" t="s">
        <v>60</v>
      </c>
      <c r="I6" s="77">
        <v>1115.8</v>
      </c>
      <c r="J6" s="11" t="s">
        <v>78</v>
      </c>
      <c r="K6" s="19">
        <v>50.21</v>
      </c>
      <c r="L6" s="76">
        <v>55.79</v>
      </c>
      <c r="M6" s="12">
        <v>0</v>
      </c>
      <c r="N6" s="6"/>
      <c r="O6" s="19">
        <f t="shared" si="1"/>
        <v>45.189</v>
      </c>
      <c r="P6" s="19">
        <f t="shared" ref="P6:P19" si="5">O6-O6*35%</f>
        <v>29.37285</v>
      </c>
      <c r="Q6" s="6">
        <v>23</v>
      </c>
      <c r="R6" s="24">
        <f t="shared" si="3"/>
        <v>6.3728499999999997</v>
      </c>
      <c r="S6" s="25">
        <f t="shared" si="4"/>
        <v>127.45699999999999</v>
      </c>
    </row>
    <row r="7" spans="1:23" ht="16" hidden="1" x14ac:dyDescent="0.2">
      <c r="A7" s="51">
        <v>45833</v>
      </c>
      <c r="B7" s="88" t="s">
        <v>27</v>
      </c>
      <c r="C7" s="57" t="s">
        <v>19</v>
      </c>
      <c r="D7" s="57" t="s">
        <v>5</v>
      </c>
      <c r="E7" s="62">
        <v>20</v>
      </c>
      <c r="F7" s="5">
        <v>0</v>
      </c>
      <c r="G7" s="5"/>
      <c r="H7" s="68" t="s">
        <v>60</v>
      </c>
      <c r="I7" s="77">
        <v>1128.5999999999999</v>
      </c>
      <c r="J7" s="11" t="s">
        <v>78</v>
      </c>
      <c r="K7" s="19">
        <v>50.79</v>
      </c>
      <c r="L7" s="76">
        <v>56.43</v>
      </c>
      <c r="M7" s="12">
        <v>0</v>
      </c>
      <c r="N7" s="6"/>
      <c r="O7" s="19">
        <f t="shared" si="1"/>
        <v>45.710999999999999</v>
      </c>
      <c r="P7" s="19">
        <f t="shared" si="5"/>
        <v>29.712150000000001</v>
      </c>
      <c r="Q7" s="6">
        <v>23</v>
      </c>
      <c r="R7" s="24">
        <f t="shared" si="3"/>
        <v>6.7121500000000012</v>
      </c>
      <c r="S7" s="25">
        <f t="shared" si="4"/>
        <v>134.24300000000002</v>
      </c>
      <c r="W7" s="44"/>
    </row>
    <row r="8" spans="1:23" ht="16" hidden="1" x14ac:dyDescent="0.2">
      <c r="A8" s="51">
        <v>45833</v>
      </c>
      <c r="B8" s="88" t="s">
        <v>27</v>
      </c>
      <c r="C8" s="57" t="s">
        <v>19</v>
      </c>
      <c r="D8" s="57" t="s">
        <v>6</v>
      </c>
      <c r="E8" s="62">
        <v>10</v>
      </c>
      <c r="F8" s="5">
        <v>0</v>
      </c>
      <c r="G8" s="5"/>
      <c r="H8" s="68" t="s">
        <v>60</v>
      </c>
      <c r="I8" s="76">
        <v>607.1</v>
      </c>
      <c r="J8" s="11" t="s">
        <v>78</v>
      </c>
      <c r="K8" s="20">
        <v>54.04</v>
      </c>
      <c r="L8" s="76">
        <v>60.71</v>
      </c>
      <c r="M8" s="12">
        <v>0</v>
      </c>
      <c r="N8" s="6"/>
      <c r="O8" s="19">
        <f t="shared" si="1"/>
        <v>48.635999999999996</v>
      </c>
      <c r="P8" s="19">
        <f t="shared" si="5"/>
        <v>31.613399999999999</v>
      </c>
      <c r="Q8" s="6">
        <v>8.3000000000000007</v>
      </c>
      <c r="R8" s="24">
        <f t="shared" si="3"/>
        <v>23.313399999999998</v>
      </c>
      <c r="S8" s="25">
        <f t="shared" si="4"/>
        <v>233.13399999999999</v>
      </c>
    </row>
    <row r="9" spans="1:23" ht="16" hidden="1" x14ac:dyDescent="0.2">
      <c r="A9" s="51">
        <v>45833</v>
      </c>
      <c r="B9" s="88" t="s">
        <v>27</v>
      </c>
      <c r="C9" s="57" t="s">
        <v>19</v>
      </c>
      <c r="D9" s="57" t="s">
        <v>7</v>
      </c>
      <c r="E9" s="62">
        <v>30</v>
      </c>
      <c r="F9" s="5">
        <v>3</v>
      </c>
      <c r="G9" s="5"/>
      <c r="H9" s="68" t="s">
        <v>60</v>
      </c>
      <c r="I9" s="77">
        <v>5142.8999999999996</v>
      </c>
      <c r="J9" s="11" t="s">
        <v>78</v>
      </c>
      <c r="K9" s="19">
        <v>154.29</v>
      </c>
      <c r="L9" s="76">
        <v>171.43</v>
      </c>
      <c r="M9" s="12">
        <v>0</v>
      </c>
      <c r="N9" s="6"/>
      <c r="O9" s="19">
        <f t="shared" si="1"/>
        <v>138.86099999999999</v>
      </c>
      <c r="P9" s="19">
        <f t="shared" si="5"/>
        <v>90.259649999999993</v>
      </c>
      <c r="Q9" s="6">
        <v>17</v>
      </c>
      <c r="R9" s="24">
        <f t="shared" si="3"/>
        <v>73.259649999999993</v>
      </c>
      <c r="S9" s="25">
        <f t="shared" si="4"/>
        <v>2197.7894999999999</v>
      </c>
    </row>
    <row r="10" spans="1:23" ht="16" hidden="1" x14ac:dyDescent="0.2">
      <c r="A10" s="51">
        <v>45833</v>
      </c>
      <c r="B10" s="88" t="s">
        <v>27</v>
      </c>
      <c r="C10" s="57" t="s">
        <v>19</v>
      </c>
      <c r="D10" s="59" t="s">
        <v>94</v>
      </c>
      <c r="E10" s="62">
        <v>30</v>
      </c>
      <c r="F10" s="5">
        <v>0</v>
      </c>
      <c r="G10" s="5"/>
      <c r="H10" s="68" t="s">
        <v>60</v>
      </c>
      <c r="I10" s="77">
        <v>4389.3</v>
      </c>
      <c r="J10" s="11" t="s">
        <v>78</v>
      </c>
      <c r="K10" s="19">
        <v>131.68</v>
      </c>
      <c r="L10" s="76">
        <v>146.31</v>
      </c>
      <c r="M10" s="12">
        <v>0</v>
      </c>
      <c r="N10" s="6"/>
      <c r="O10" s="19">
        <f t="shared" si="1"/>
        <v>118.512</v>
      </c>
      <c r="P10" s="19">
        <f t="shared" si="5"/>
        <v>77.032800000000009</v>
      </c>
      <c r="Q10" s="6">
        <v>47.5</v>
      </c>
      <c r="R10" s="24">
        <f t="shared" si="3"/>
        <v>29.532800000000009</v>
      </c>
      <c r="S10" s="25">
        <f t="shared" si="4"/>
        <v>885.98400000000026</v>
      </c>
    </row>
    <row r="11" spans="1:23" ht="16" hidden="1" x14ac:dyDescent="0.2">
      <c r="A11" s="51">
        <v>45833</v>
      </c>
      <c r="B11" s="88" t="s">
        <v>27</v>
      </c>
      <c r="C11" s="57" t="s">
        <v>19</v>
      </c>
      <c r="D11" s="57" t="s">
        <v>8</v>
      </c>
      <c r="E11" s="62">
        <v>30</v>
      </c>
      <c r="F11" s="5">
        <v>0</v>
      </c>
      <c r="G11" s="5"/>
      <c r="H11" s="68" t="s">
        <v>60</v>
      </c>
      <c r="I11" s="77">
        <v>5892.9</v>
      </c>
      <c r="J11" s="11" t="s">
        <v>78</v>
      </c>
      <c r="K11" s="21">
        <v>176.79</v>
      </c>
      <c r="L11" s="76">
        <v>196.43</v>
      </c>
      <c r="M11" s="12">
        <v>0</v>
      </c>
      <c r="N11" s="6"/>
      <c r="O11" s="19">
        <f t="shared" si="1"/>
        <v>159.11099999999999</v>
      </c>
      <c r="P11" s="19">
        <f t="shared" si="5"/>
        <v>103.42214999999999</v>
      </c>
      <c r="Q11" s="22">
        <v>10.8</v>
      </c>
      <c r="R11" s="24">
        <f t="shared" si="3"/>
        <v>92.622149999999991</v>
      </c>
      <c r="S11" s="25">
        <f t="shared" si="4"/>
        <v>2778.6644999999999</v>
      </c>
    </row>
    <row r="12" spans="1:23" ht="16" hidden="1" x14ac:dyDescent="0.2">
      <c r="A12" s="51">
        <v>45833</v>
      </c>
      <c r="B12" s="88" t="s">
        <v>27</v>
      </c>
      <c r="C12" s="57" t="s">
        <v>19</v>
      </c>
      <c r="D12" s="57" t="s">
        <v>9</v>
      </c>
      <c r="E12" s="62">
        <v>30</v>
      </c>
      <c r="F12" s="5">
        <v>3</v>
      </c>
      <c r="G12" s="5"/>
      <c r="H12" s="68" t="s">
        <v>60</v>
      </c>
      <c r="I12" s="77">
        <v>1928.7</v>
      </c>
      <c r="J12" s="11" t="s">
        <v>78</v>
      </c>
      <c r="K12" s="23">
        <v>57.86</v>
      </c>
      <c r="L12" s="76">
        <v>64.290000000000006</v>
      </c>
      <c r="M12" s="12">
        <v>0</v>
      </c>
      <c r="N12" s="6"/>
      <c r="O12" s="19">
        <f t="shared" si="1"/>
        <v>52.073999999999998</v>
      </c>
      <c r="P12" s="19">
        <f t="shared" si="5"/>
        <v>33.848100000000002</v>
      </c>
      <c r="Q12" s="6">
        <v>5.2</v>
      </c>
      <c r="R12" s="24">
        <f t="shared" si="3"/>
        <v>28.648100000000003</v>
      </c>
      <c r="S12" s="25">
        <f t="shared" si="4"/>
        <v>859.4430000000001</v>
      </c>
    </row>
    <row r="13" spans="1:23" ht="16" hidden="1" x14ac:dyDescent="0.2">
      <c r="A13" s="51">
        <v>45833</v>
      </c>
      <c r="B13" s="88" t="s">
        <v>27</v>
      </c>
      <c r="C13" s="57" t="s">
        <v>19</v>
      </c>
      <c r="D13" s="57" t="s">
        <v>2</v>
      </c>
      <c r="E13" s="62">
        <v>50</v>
      </c>
      <c r="F13" s="5">
        <v>0</v>
      </c>
      <c r="G13" s="5"/>
      <c r="H13" s="68" t="s">
        <v>60</v>
      </c>
      <c r="I13" s="76">
        <v>700</v>
      </c>
      <c r="J13" s="11" t="s">
        <v>78</v>
      </c>
      <c r="K13" s="6">
        <v>12.6</v>
      </c>
      <c r="L13" s="76">
        <v>14</v>
      </c>
      <c r="M13" s="12">
        <v>0</v>
      </c>
      <c r="N13" s="6"/>
      <c r="O13" s="19">
        <f t="shared" si="1"/>
        <v>11.34</v>
      </c>
      <c r="P13" s="19">
        <f t="shared" si="5"/>
        <v>7.3710000000000004</v>
      </c>
      <c r="Q13" s="6">
        <v>6.75</v>
      </c>
      <c r="R13" s="24">
        <f t="shared" si="3"/>
        <v>0.62100000000000044</v>
      </c>
      <c r="S13" s="25">
        <f t="shared" si="4"/>
        <v>31.050000000000022</v>
      </c>
    </row>
    <row r="14" spans="1:23" ht="16" hidden="1" x14ac:dyDescent="0.2">
      <c r="A14" s="51">
        <v>45833</v>
      </c>
      <c r="B14" s="88" t="s">
        <v>27</v>
      </c>
      <c r="C14" s="57" t="s">
        <v>19</v>
      </c>
      <c r="D14" s="57" t="s">
        <v>10</v>
      </c>
      <c r="E14" s="62">
        <v>30</v>
      </c>
      <c r="F14" s="5">
        <v>0</v>
      </c>
      <c r="G14" s="5"/>
      <c r="H14" s="68" t="s">
        <v>60</v>
      </c>
      <c r="I14" s="77">
        <v>2335.8000000000002</v>
      </c>
      <c r="J14" s="11" t="s">
        <v>78</v>
      </c>
      <c r="K14" s="21">
        <v>69.290000000000006</v>
      </c>
      <c r="L14" s="76">
        <v>77.86</v>
      </c>
      <c r="M14" s="12">
        <v>0</v>
      </c>
      <c r="N14" s="6"/>
      <c r="O14" s="19">
        <f t="shared" si="1"/>
        <v>62.361000000000004</v>
      </c>
      <c r="P14" s="19">
        <f t="shared" si="5"/>
        <v>40.534649999999999</v>
      </c>
      <c r="Q14" s="6">
        <v>30</v>
      </c>
      <c r="R14" s="24">
        <f t="shared" si="3"/>
        <v>10.534649999999999</v>
      </c>
      <c r="S14" s="25">
        <f t="shared" si="4"/>
        <v>316.03949999999998</v>
      </c>
    </row>
    <row r="15" spans="1:23" ht="16" hidden="1" x14ac:dyDescent="0.2">
      <c r="A15" s="51">
        <v>45833</v>
      </c>
      <c r="B15" s="88" t="s">
        <v>27</v>
      </c>
      <c r="C15" s="57" t="s">
        <v>19</v>
      </c>
      <c r="D15" s="59" t="s">
        <v>154</v>
      </c>
      <c r="E15" s="62">
        <v>30</v>
      </c>
      <c r="F15" s="5">
        <v>0</v>
      </c>
      <c r="G15" s="5"/>
      <c r="H15" s="68" t="s">
        <v>60</v>
      </c>
      <c r="I15" s="77">
        <v>10842.9</v>
      </c>
      <c r="J15" s="11" t="s">
        <v>78</v>
      </c>
      <c r="K15" s="21">
        <v>325.28571428571399</v>
      </c>
      <c r="L15" s="76">
        <v>361.43</v>
      </c>
      <c r="M15" s="12">
        <v>0</v>
      </c>
      <c r="N15" s="6"/>
      <c r="O15" s="19">
        <f t="shared" si="1"/>
        <v>292.75714285714258</v>
      </c>
      <c r="P15" s="19">
        <f t="shared" si="5"/>
        <v>190.29214285714266</v>
      </c>
      <c r="Q15" s="6"/>
      <c r="R15" s="24">
        <f t="shared" si="3"/>
        <v>190.29214285714266</v>
      </c>
      <c r="S15" s="25">
        <f t="shared" si="4"/>
        <v>5708.76428571428</v>
      </c>
    </row>
    <row r="16" spans="1:23" ht="16" hidden="1" x14ac:dyDescent="0.2">
      <c r="A16" s="51">
        <v>45833</v>
      </c>
      <c r="B16" s="88" t="s">
        <v>27</v>
      </c>
      <c r="C16" s="57" t="s">
        <v>19</v>
      </c>
      <c r="D16" s="57" t="s">
        <v>11</v>
      </c>
      <c r="E16" s="62">
        <v>30</v>
      </c>
      <c r="F16" s="5">
        <v>0</v>
      </c>
      <c r="G16" s="5"/>
      <c r="H16" s="68" t="s">
        <v>60</v>
      </c>
      <c r="I16" s="77">
        <v>1500</v>
      </c>
      <c r="J16" s="11" t="s">
        <v>78</v>
      </c>
      <c r="K16" s="6">
        <v>45</v>
      </c>
      <c r="L16" s="76">
        <v>50</v>
      </c>
      <c r="M16" s="12">
        <v>0</v>
      </c>
      <c r="N16" s="6"/>
      <c r="O16" s="19">
        <f t="shared" si="1"/>
        <v>40.5</v>
      </c>
      <c r="P16" s="19">
        <f t="shared" si="5"/>
        <v>26.325000000000003</v>
      </c>
      <c r="Q16" s="6">
        <v>4.55</v>
      </c>
      <c r="R16" s="24">
        <f t="shared" si="3"/>
        <v>21.775000000000002</v>
      </c>
      <c r="S16" s="25">
        <f t="shared" si="4"/>
        <v>653.25000000000011</v>
      </c>
    </row>
    <row r="17" spans="1:19" ht="16" hidden="1" x14ac:dyDescent="0.2">
      <c r="A17" s="51">
        <v>45833</v>
      </c>
      <c r="B17" s="88" t="s">
        <v>27</v>
      </c>
      <c r="C17" s="57" t="s">
        <v>19</v>
      </c>
      <c r="D17" s="57" t="s">
        <v>12</v>
      </c>
      <c r="E17" s="62">
        <v>20</v>
      </c>
      <c r="F17" s="5">
        <v>0</v>
      </c>
      <c r="G17" s="5"/>
      <c r="H17" s="68" t="s">
        <v>60</v>
      </c>
      <c r="I17" s="77">
        <v>2042.8</v>
      </c>
      <c r="J17" s="11" t="s">
        <v>78</v>
      </c>
      <c r="K17" s="19">
        <v>92.86</v>
      </c>
      <c r="L17" s="76">
        <v>102.14</v>
      </c>
      <c r="M17" s="12">
        <v>0</v>
      </c>
      <c r="N17" s="6"/>
      <c r="O17" s="19">
        <f t="shared" si="1"/>
        <v>83.573999999999998</v>
      </c>
      <c r="P17" s="19">
        <f t="shared" si="5"/>
        <v>54.323099999999997</v>
      </c>
      <c r="Q17" s="6">
        <v>6.8</v>
      </c>
      <c r="R17" s="24">
        <f t="shared" si="3"/>
        <v>47.523099999999999</v>
      </c>
      <c r="S17" s="25">
        <f t="shared" si="4"/>
        <v>950.46199999999999</v>
      </c>
    </row>
    <row r="18" spans="1:19" ht="16" hidden="1" x14ac:dyDescent="0.2">
      <c r="A18" s="51">
        <v>45833</v>
      </c>
      <c r="B18" s="88" t="s">
        <v>27</v>
      </c>
      <c r="C18" s="57" t="s">
        <v>19</v>
      </c>
      <c r="D18" s="57" t="s">
        <v>3</v>
      </c>
      <c r="E18" s="62">
        <v>10</v>
      </c>
      <c r="F18" s="5">
        <v>0</v>
      </c>
      <c r="G18" s="5"/>
      <c r="H18" s="68" t="s">
        <v>60</v>
      </c>
      <c r="I18" s="77">
        <v>1557.1</v>
      </c>
      <c r="J18" s="11" t="s">
        <v>78</v>
      </c>
      <c r="K18" s="19">
        <v>140.13999999999999</v>
      </c>
      <c r="L18" s="76">
        <v>155.71</v>
      </c>
      <c r="M18" s="12">
        <v>0</v>
      </c>
      <c r="N18" s="6"/>
      <c r="O18" s="19">
        <f t="shared" si="1"/>
        <v>126.12599999999999</v>
      </c>
      <c r="P18" s="19">
        <f t="shared" si="5"/>
        <v>81.981899999999996</v>
      </c>
      <c r="Q18" s="6">
        <v>9</v>
      </c>
      <c r="R18" s="24">
        <f t="shared" si="3"/>
        <v>72.981899999999996</v>
      </c>
      <c r="S18" s="25">
        <f t="shared" si="4"/>
        <v>729.81899999999996</v>
      </c>
    </row>
    <row r="19" spans="1:19" ht="16" hidden="1" x14ac:dyDescent="0.2">
      <c r="A19" s="51">
        <v>45833</v>
      </c>
      <c r="B19" s="88" t="s">
        <v>27</v>
      </c>
      <c r="C19" s="57" t="s">
        <v>19</v>
      </c>
      <c r="D19" s="57" t="s">
        <v>13</v>
      </c>
      <c r="E19" s="62">
        <v>20</v>
      </c>
      <c r="F19" s="5">
        <v>0</v>
      </c>
      <c r="G19" s="5"/>
      <c r="H19" s="68" t="s">
        <v>60</v>
      </c>
      <c r="I19" s="77">
        <v>2185.8000000000002</v>
      </c>
      <c r="J19" s="11" t="s">
        <v>78</v>
      </c>
      <c r="K19" s="19">
        <v>98.36</v>
      </c>
      <c r="L19" s="76">
        <v>109.29</v>
      </c>
      <c r="M19" s="12">
        <v>0</v>
      </c>
      <c r="N19" s="6"/>
      <c r="O19" s="19">
        <f t="shared" si="1"/>
        <v>88.524000000000001</v>
      </c>
      <c r="P19" s="19">
        <f t="shared" si="5"/>
        <v>57.540599999999998</v>
      </c>
      <c r="Q19" s="6">
        <v>7.2</v>
      </c>
      <c r="R19" s="24">
        <f t="shared" si="3"/>
        <v>50.340599999999995</v>
      </c>
      <c r="S19" s="25">
        <f t="shared" si="4"/>
        <v>1006.8119999999999</v>
      </c>
    </row>
    <row r="20" spans="1:19" ht="16" hidden="1" x14ac:dyDescent="0.2">
      <c r="A20" s="51">
        <v>45803</v>
      </c>
      <c r="B20" s="88" t="s">
        <v>28</v>
      </c>
      <c r="C20" s="57" t="s">
        <v>20</v>
      </c>
      <c r="D20" s="57" t="s">
        <v>4</v>
      </c>
      <c r="E20" s="62">
        <v>10</v>
      </c>
      <c r="F20" s="5">
        <v>0</v>
      </c>
      <c r="G20" s="5"/>
      <c r="H20" s="68" t="s">
        <v>59</v>
      </c>
      <c r="I20" s="76">
        <v>557.9</v>
      </c>
      <c r="J20" s="11" t="s">
        <v>77</v>
      </c>
      <c r="K20" s="19">
        <v>50.21</v>
      </c>
      <c r="L20" s="76">
        <v>55.79</v>
      </c>
      <c r="M20" s="12">
        <f t="shared" ref="M20:M34" si="6">I20*30%</f>
        <v>167.36999999999998</v>
      </c>
      <c r="N20" s="6"/>
      <c r="O20" s="19">
        <f t="shared" si="1"/>
        <v>45.189</v>
      </c>
      <c r="P20" s="19">
        <f t="shared" ref="P20:P69" si="7">O20-O20*30%</f>
        <v>31.632300000000001</v>
      </c>
      <c r="Q20" s="6">
        <v>23</v>
      </c>
      <c r="R20" s="24">
        <f t="shared" si="3"/>
        <v>8.6323000000000008</v>
      </c>
      <c r="S20" s="25">
        <f t="shared" si="4"/>
        <v>86.323000000000008</v>
      </c>
    </row>
    <row r="21" spans="1:19" ht="16" hidden="1" x14ac:dyDescent="0.2">
      <c r="A21" s="51">
        <v>45821</v>
      </c>
      <c r="B21" s="88" t="s">
        <v>29</v>
      </c>
      <c r="C21" s="57" t="s">
        <v>20</v>
      </c>
      <c r="D21" s="57" t="s">
        <v>4</v>
      </c>
      <c r="E21" s="62">
        <v>5</v>
      </c>
      <c r="F21" s="5">
        <v>0</v>
      </c>
      <c r="G21" s="5"/>
      <c r="H21" s="68" t="s">
        <v>59</v>
      </c>
      <c r="I21" s="76">
        <v>278.95</v>
      </c>
      <c r="J21" s="11" t="s">
        <v>78</v>
      </c>
      <c r="K21" s="19">
        <v>50.21</v>
      </c>
      <c r="L21" s="76">
        <v>55.79</v>
      </c>
      <c r="M21" s="12">
        <f t="shared" si="6"/>
        <v>83.684999999999988</v>
      </c>
      <c r="N21" s="6"/>
      <c r="O21" s="19">
        <f t="shared" si="1"/>
        <v>45.189</v>
      </c>
      <c r="P21" s="19">
        <f t="shared" si="7"/>
        <v>31.632300000000001</v>
      </c>
      <c r="Q21" s="6">
        <v>23</v>
      </c>
      <c r="R21" s="24">
        <f t="shared" si="3"/>
        <v>8.6323000000000008</v>
      </c>
      <c r="S21" s="25">
        <f t="shared" si="4"/>
        <v>43.161500000000004</v>
      </c>
    </row>
    <row r="22" spans="1:19" ht="16" hidden="1" x14ac:dyDescent="0.2">
      <c r="A22" s="51">
        <v>45805</v>
      </c>
      <c r="B22" s="88" t="s">
        <v>30</v>
      </c>
      <c r="C22" s="57" t="s">
        <v>20</v>
      </c>
      <c r="D22" s="57" t="s">
        <v>5</v>
      </c>
      <c r="E22" s="62">
        <v>10</v>
      </c>
      <c r="F22" s="5">
        <v>0</v>
      </c>
      <c r="G22" s="5"/>
      <c r="H22" s="68" t="s">
        <v>59</v>
      </c>
      <c r="I22" s="76">
        <v>564.29999999999995</v>
      </c>
      <c r="J22" s="11" t="s">
        <v>77</v>
      </c>
      <c r="K22" s="19">
        <v>50.79</v>
      </c>
      <c r="L22" s="76">
        <v>56.43</v>
      </c>
      <c r="M22" s="12">
        <f t="shared" si="6"/>
        <v>169.29</v>
      </c>
      <c r="N22" s="6"/>
      <c r="O22" s="19">
        <f t="shared" si="1"/>
        <v>45.710999999999999</v>
      </c>
      <c r="P22" s="19">
        <f t="shared" si="7"/>
        <v>31.997700000000002</v>
      </c>
      <c r="Q22" s="6">
        <v>23</v>
      </c>
      <c r="R22" s="24">
        <f t="shared" si="3"/>
        <v>8.9977000000000018</v>
      </c>
      <c r="S22" s="25">
        <f t="shared" si="4"/>
        <v>89.977000000000018</v>
      </c>
    </row>
    <row r="23" spans="1:19" ht="16" hidden="1" x14ac:dyDescent="0.2">
      <c r="A23" s="51">
        <v>45808</v>
      </c>
      <c r="B23" s="88" t="s">
        <v>31</v>
      </c>
      <c r="C23" s="57" t="s">
        <v>20</v>
      </c>
      <c r="D23" s="57" t="s">
        <v>5</v>
      </c>
      <c r="E23" s="62">
        <v>10</v>
      </c>
      <c r="F23" s="5">
        <v>0</v>
      </c>
      <c r="G23" s="5"/>
      <c r="H23" s="68" t="s">
        <v>59</v>
      </c>
      <c r="I23" s="76">
        <v>564.29999999999995</v>
      </c>
      <c r="J23" s="11" t="s">
        <v>77</v>
      </c>
      <c r="K23" s="19">
        <v>50.79</v>
      </c>
      <c r="L23" s="76">
        <v>56.43</v>
      </c>
      <c r="M23" s="12">
        <f t="shared" si="6"/>
        <v>169.29</v>
      </c>
      <c r="N23" s="6"/>
      <c r="O23" s="19">
        <f t="shared" si="1"/>
        <v>45.710999999999999</v>
      </c>
      <c r="P23" s="19">
        <f t="shared" si="7"/>
        <v>31.997700000000002</v>
      </c>
      <c r="Q23" s="6">
        <v>23</v>
      </c>
      <c r="R23" s="24">
        <f t="shared" si="3"/>
        <v>8.9977000000000018</v>
      </c>
      <c r="S23" s="25">
        <f t="shared" si="4"/>
        <v>89.977000000000018</v>
      </c>
    </row>
    <row r="24" spans="1:19" ht="16" hidden="1" x14ac:dyDescent="0.2">
      <c r="A24" s="51">
        <v>45798</v>
      </c>
      <c r="B24" s="88" t="s">
        <v>32</v>
      </c>
      <c r="C24" s="57" t="s">
        <v>20</v>
      </c>
      <c r="D24" s="57" t="s">
        <v>5</v>
      </c>
      <c r="E24" s="62">
        <v>5</v>
      </c>
      <c r="F24" s="5">
        <v>0</v>
      </c>
      <c r="G24" s="5"/>
      <c r="H24" s="68" t="s">
        <v>59</v>
      </c>
      <c r="I24" s="76">
        <v>282.14999999999998</v>
      </c>
      <c r="J24" s="11" t="s">
        <v>77</v>
      </c>
      <c r="K24" s="19">
        <v>50.79</v>
      </c>
      <c r="L24" s="76">
        <v>56.43</v>
      </c>
      <c r="M24" s="12">
        <f t="shared" si="6"/>
        <v>84.644999999999996</v>
      </c>
      <c r="N24" s="6"/>
      <c r="O24" s="19">
        <f t="shared" si="1"/>
        <v>45.710999999999999</v>
      </c>
      <c r="P24" s="19">
        <f t="shared" si="7"/>
        <v>31.997700000000002</v>
      </c>
      <c r="Q24" s="6">
        <v>23</v>
      </c>
      <c r="R24" s="24">
        <f t="shared" si="3"/>
        <v>8.9977000000000018</v>
      </c>
      <c r="S24" s="25">
        <f t="shared" si="4"/>
        <v>44.988500000000009</v>
      </c>
    </row>
    <row r="25" spans="1:19" ht="16" hidden="1" x14ac:dyDescent="0.2">
      <c r="A25" s="51">
        <v>45824</v>
      </c>
      <c r="B25" s="88" t="s">
        <v>33</v>
      </c>
      <c r="C25" s="57" t="s">
        <v>20</v>
      </c>
      <c r="D25" s="57" t="s">
        <v>5</v>
      </c>
      <c r="E25" s="62">
        <v>10</v>
      </c>
      <c r="F25" s="5">
        <v>0</v>
      </c>
      <c r="G25" s="5"/>
      <c r="H25" s="68" t="s">
        <v>59</v>
      </c>
      <c r="I25" s="76">
        <v>564.29999999999995</v>
      </c>
      <c r="J25" s="11" t="s">
        <v>78</v>
      </c>
      <c r="K25" s="19">
        <v>50.79</v>
      </c>
      <c r="L25" s="76">
        <v>56.43</v>
      </c>
      <c r="M25" s="12">
        <f t="shared" si="6"/>
        <v>169.29</v>
      </c>
      <c r="N25" s="6"/>
      <c r="O25" s="19">
        <f t="shared" si="1"/>
        <v>45.710999999999999</v>
      </c>
      <c r="P25" s="19">
        <f t="shared" si="7"/>
        <v>31.997700000000002</v>
      </c>
      <c r="Q25" s="6">
        <v>23</v>
      </c>
      <c r="R25" s="24">
        <f t="shared" si="3"/>
        <v>8.9977000000000018</v>
      </c>
      <c r="S25" s="25">
        <f t="shared" si="4"/>
        <v>89.977000000000018</v>
      </c>
    </row>
    <row r="26" spans="1:19" ht="16" hidden="1" x14ac:dyDescent="0.2">
      <c r="A26" s="51">
        <v>45822</v>
      </c>
      <c r="B26" s="88" t="s">
        <v>34</v>
      </c>
      <c r="C26" s="57" t="s">
        <v>20</v>
      </c>
      <c r="D26" s="57" t="s">
        <v>5</v>
      </c>
      <c r="E26" s="62">
        <v>5</v>
      </c>
      <c r="F26" s="5">
        <v>0</v>
      </c>
      <c r="G26" s="5"/>
      <c r="H26" s="68" t="s">
        <v>59</v>
      </c>
      <c r="I26" s="76">
        <v>282.14999999999998</v>
      </c>
      <c r="J26" s="11" t="s">
        <v>78</v>
      </c>
      <c r="K26" s="19">
        <v>50.79</v>
      </c>
      <c r="L26" s="76">
        <v>56.43</v>
      </c>
      <c r="M26" s="12">
        <f t="shared" si="6"/>
        <v>84.644999999999996</v>
      </c>
      <c r="N26" s="6"/>
      <c r="O26" s="19">
        <f t="shared" si="1"/>
        <v>45.710999999999999</v>
      </c>
      <c r="P26" s="19">
        <f t="shared" si="7"/>
        <v>31.997700000000002</v>
      </c>
      <c r="Q26" s="6">
        <v>23</v>
      </c>
      <c r="R26" s="24">
        <f t="shared" si="3"/>
        <v>8.9977000000000018</v>
      </c>
      <c r="S26" s="25">
        <f t="shared" si="4"/>
        <v>44.988500000000009</v>
      </c>
    </row>
    <row r="27" spans="1:19" ht="16" hidden="1" x14ac:dyDescent="0.2">
      <c r="A27" s="51">
        <v>45826</v>
      </c>
      <c r="B27" s="88" t="s">
        <v>35</v>
      </c>
      <c r="C27" s="57" t="s">
        <v>20</v>
      </c>
      <c r="D27" s="57" t="s">
        <v>5</v>
      </c>
      <c r="E27" s="62">
        <v>10</v>
      </c>
      <c r="F27" s="5">
        <v>0</v>
      </c>
      <c r="G27" s="5"/>
      <c r="H27" s="68" t="s">
        <v>59</v>
      </c>
      <c r="I27" s="76">
        <v>564.29999999999995</v>
      </c>
      <c r="J27" s="11" t="s">
        <v>78</v>
      </c>
      <c r="K27" s="19">
        <v>50.79</v>
      </c>
      <c r="L27" s="76">
        <v>56.43</v>
      </c>
      <c r="M27" s="12">
        <f t="shared" si="6"/>
        <v>169.29</v>
      </c>
      <c r="N27" s="6"/>
      <c r="O27" s="19">
        <f t="shared" si="1"/>
        <v>45.710999999999999</v>
      </c>
      <c r="P27" s="19">
        <f t="shared" si="7"/>
        <v>31.997700000000002</v>
      </c>
      <c r="Q27" s="6">
        <v>23</v>
      </c>
      <c r="R27" s="24">
        <f t="shared" si="3"/>
        <v>8.9977000000000018</v>
      </c>
      <c r="S27" s="25">
        <f t="shared" si="4"/>
        <v>89.977000000000018</v>
      </c>
    </row>
    <row r="28" spans="1:19" ht="16" hidden="1" x14ac:dyDescent="0.2">
      <c r="A28" s="51">
        <v>45835</v>
      </c>
      <c r="B28" s="88" t="s">
        <v>36</v>
      </c>
      <c r="C28" s="57" t="s">
        <v>20</v>
      </c>
      <c r="D28" s="57" t="s">
        <v>5</v>
      </c>
      <c r="E28" s="62">
        <v>5</v>
      </c>
      <c r="F28" s="5">
        <v>0</v>
      </c>
      <c r="G28" s="5"/>
      <c r="H28" s="68" t="s">
        <v>59</v>
      </c>
      <c r="I28" s="76">
        <v>282.14999999999998</v>
      </c>
      <c r="J28" s="11" t="s">
        <v>78</v>
      </c>
      <c r="K28" s="19">
        <v>50.79</v>
      </c>
      <c r="L28" s="76">
        <v>56.43</v>
      </c>
      <c r="M28" s="12">
        <f t="shared" si="6"/>
        <v>84.644999999999996</v>
      </c>
      <c r="N28" s="6"/>
      <c r="O28" s="19">
        <f t="shared" si="1"/>
        <v>45.710999999999999</v>
      </c>
      <c r="P28" s="19">
        <f t="shared" si="7"/>
        <v>31.997700000000002</v>
      </c>
      <c r="Q28" s="6">
        <v>23</v>
      </c>
      <c r="R28" s="24">
        <f t="shared" si="3"/>
        <v>8.9977000000000018</v>
      </c>
      <c r="S28" s="25">
        <f t="shared" si="4"/>
        <v>44.988500000000009</v>
      </c>
    </row>
    <row r="29" spans="1:19" ht="16" hidden="1" x14ac:dyDescent="0.2">
      <c r="A29" s="51">
        <v>45834</v>
      </c>
      <c r="B29" s="88" t="s">
        <v>25</v>
      </c>
      <c r="C29" s="57" t="s">
        <v>20</v>
      </c>
      <c r="D29" s="57" t="s">
        <v>5</v>
      </c>
      <c r="E29" s="62">
        <v>5</v>
      </c>
      <c r="F29" s="5">
        <v>0</v>
      </c>
      <c r="G29" s="5"/>
      <c r="H29" s="68" t="s">
        <v>59</v>
      </c>
      <c r="I29" s="76">
        <v>282.14999999999998</v>
      </c>
      <c r="J29" s="11" t="s">
        <v>78</v>
      </c>
      <c r="K29" s="19">
        <v>50.79</v>
      </c>
      <c r="L29" s="76">
        <v>56.43</v>
      </c>
      <c r="M29" s="12">
        <f t="shared" si="6"/>
        <v>84.644999999999996</v>
      </c>
      <c r="N29" s="6"/>
      <c r="O29" s="19">
        <f t="shared" si="1"/>
        <v>45.710999999999999</v>
      </c>
      <c r="P29" s="19">
        <f t="shared" si="7"/>
        <v>31.997700000000002</v>
      </c>
      <c r="Q29" s="6">
        <v>23</v>
      </c>
      <c r="R29" s="24">
        <f t="shared" si="3"/>
        <v>8.9977000000000018</v>
      </c>
      <c r="S29" s="25">
        <f t="shared" si="4"/>
        <v>44.988500000000009</v>
      </c>
    </row>
    <row r="30" spans="1:19" ht="16" hidden="1" x14ac:dyDescent="0.2">
      <c r="A30" s="51">
        <v>45821</v>
      </c>
      <c r="B30" s="88" t="s">
        <v>55</v>
      </c>
      <c r="C30" s="57" t="s">
        <v>20</v>
      </c>
      <c r="D30" s="57" t="s">
        <v>5</v>
      </c>
      <c r="E30" s="62">
        <v>10</v>
      </c>
      <c r="F30" s="5">
        <v>0</v>
      </c>
      <c r="G30" s="5"/>
      <c r="H30" s="68" t="s">
        <v>59</v>
      </c>
      <c r="I30" s="76">
        <v>564.29999999999995</v>
      </c>
      <c r="J30" s="11" t="s">
        <v>78</v>
      </c>
      <c r="K30" s="19">
        <v>50.79</v>
      </c>
      <c r="L30" s="76">
        <v>56.43</v>
      </c>
      <c r="M30" s="12">
        <f t="shared" si="6"/>
        <v>169.29</v>
      </c>
      <c r="N30" s="6"/>
      <c r="O30" s="19">
        <f t="shared" si="1"/>
        <v>45.710999999999999</v>
      </c>
      <c r="P30" s="19">
        <f t="shared" si="7"/>
        <v>31.997700000000002</v>
      </c>
      <c r="Q30" s="6">
        <v>23</v>
      </c>
      <c r="R30" s="24">
        <f t="shared" si="3"/>
        <v>8.9977000000000018</v>
      </c>
      <c r="S30" s="25">
        <f t="shared" si="4"/>
        <v>89.977000000000018</v>
      </c>
    </row>
    <row r="31" spans="1:19" ht="16" hidden="1" x14ac:dyDescent="0.2">
      <c r="A31" s="51">
        <v>45821</v>
      </c>
      <c r="B31" s="88" t="s">
        <v>29</v>
      </c>
      <c r="C31" s="57" t="s">
        <v>20</v>
      </c>
      <c r="D31" s="57" t="s">
        <v>6</v>
      </c>
      <c r="E31" s="62">
        <v>5</v>
      </c>
      <c r="F31" s="5">
        <v>0</v>
      </c>
      <c r="G31" s="5"/>
      <c r="H31" s="68" t="s">
        <v>59</v>
      </c>
      <c r="I31" s="76">
        <v>303.55</v>
      </c>
      <c r="J31" s="11" t="s">
        <v>78</v>
      </c>
      <c r="K31" s="20">
        <v>54.04</v>
      </c>
      <c r="L31" s="76">
        <v>60.71</v>
      </c>
      <c r="M31" s="12">
        <f t="shared" si="6"/>
        <v>91.064999999999998</v>
      </c>
      <c r="N31" s="6"/>
      <c r="O31" s="19">
        <f t="shared" si="1"/>
        <v>48.635999999999996</v>
      </c>
      <c r="P31" s="19">
        <f t="shared" si="7"/>
        <v>34.045199999999994</v>
      </c>
      <c r="Q31" s="6">
        <v>8.3000000000000007</v>
      </c>
      <c r="R31" s="24">
        <f t="shared" si="3"/>
        <v>25.745199999999993</v>
      </c>
      <c r="S31" s="25">
        <f t="shared" si="4"/>
        <v>128.72599999999997</v>
      </c>
    </row>
    <row r="32" spans="1:19" ht="16" hidden="1" x14ac:dyDescent="0.2">
      <c r="A32" s="51">
        <v>45796</v>
      </c>
      <c r="B32" s="88" t="s">
        <v>37</v>
      </c>
      <c r="C32" s="57" t="s">
        <v>20</v>
      </c>
      <c r="D32" s="59" t="s">
        <v>94</v>
      </c>
      <c r="E32" s="62">
        <v>5</v>
      </c>
      <c r="F32" s="5">
        <v>0</v>
      </c>
      <c r="G32" s="5"/>
      <c r="H32" s="68" t="s">
        <v>59</v>
      </c>
      <c r="I32" s="76">
        <v>731.55</v>
      </c>
      <c r="J32" s="11" t="s">
        <v>77</v>
      </c>
      <c r="K32" s="19">
        <v>131.68</v>
      </c>
      <c r="L32" s="76">
        <v>146.31</v>
      </c>
      <c r="M32" s="12">
        <f t="shared" si="6"/>
        <v>219.46499999999997</v>
      </c>
      <c r="N32" s="6"/>
      <c r="O32" s="19">
        <f t="shared" si="1"/>
        <v>118.512</v>
      </c>
      <c r="P32" s="19">
        <f t="shared" si="7"/>
        <v>82.958400000000012</v>
      </c>
      <c r="Q32" s="6">
        <v>47.5</v>
      </c>
      <c r="R32" s="24">
        <f t="shared" si="3"/>
        <v>35.458400000000012</v>
      </c>
      <c r="S32" s="25">
        <f t="shared" si="4"/>
        <v>177.29200000000006</v>
      </c>
    </row>
    <row r="33" spans="1:19" ht="16" hidden="1" x14ac:dyDescent="0.2">
      <c r="A33" s="51">
        <v>45812</v>
      </c>
      <c r="B33" s="88" t="s">
        <v>63</v>
      </c>
      <c r="C33" s="57" t="s">
        <v>20</v>
      </c>
      <c r="D33" s="59" t="s">
        <v>94</v>
      </c>
      <c r="E33" s="62">
        <v>10</v>
      </c>
      <c r="F33" s="5">
        <v>0</v>
      </c>
      <c r="G33" s="5"/>
      <c r="H33" s="68" t="s">
        <v>59</v>
      </c>
      <c r="I33" s="77">
        <v>1463.1</v>
      </c>
      <c r="J33" s="11" t="s">
        <v>78</v>
      </c>
      <c r="K33" s="19">
        <v>131.68</v>
      </c>
      <c r="L33" s="76">
        <v>146.31</v>
      </c>
      <c r="M33" s="12">
        <f t="shared" si="6"/>
        <v>438.92999999999995</v>
      </c>
      <c r="N33" s="6"/>
      <c r="O33" s="19">
        <f t="shared" si="1"/>
        <v>118.512</v>
      </c>
      <c r="P33" s="19">
        <f t="shared" si="7"/>
        <v>82.958400000000012</v>
      </c>
      <c r="Q33" s="6">
        <v>47.5</v>
      </c>
      <c r="R33" s="24">
        <f t="shared" si="3"/>
        <v>35.458400000000012</v>
      </c>
      <c r="S33" s="25">
        <f t="shared" si="4"/>
        <v>354.58400000000012</v>
      </c>
    </row>
    <row r="34" spans="1:19" ht="16" hidden="1" x14ac:dyDescent="0.2">
      <c r="A34" s="51">
        <v>45816</v>
      </c>
      <c r="B34" s="88" t="s">
        <v>50</v>
      </c>
      <c r="C34" s="57" t="s">
        <v>20</v>
      </c>
      <c r="D34" s="57" t="s">
        <v>8</v>
      </c>
      <c r="E34" s="62">
        <v>10</v>
      </c>
      <c r="F34" s="5">
        <v>0</v>
      </c>
      <c r="G34" s="5"/>
      <c r="H34" s="68" t="s">
        <v>59</v>
      </c>
      <c r="I34" s="77">
        <v>1964.3</v>
      </c>
      <c r="J34" s="11" t="s">
        <v>78</v>
      </c>
      <c r="K34" s="21">
        <v>176.79</v>
      </c>
      <c r="L34" s="76">
        <v>196.43</v>
      </c>
      <c r="M34" s="12">
        <f t="shared" si="6"/>
        <v>589.29</v>
      </c>
      <c r="N34" s="6"/>
      <c r="O34" s="19">
        <f t="shared" si="1"/>
        <v>159.11099999999999</v>
      </c>
      <c r="P34" s="19">
        <f t="shared" si="7"/>
        <v>111.3777</v>
      </c>
      <c r="Q34" s="22">
        <v>10.8</v>
      </c>
      <c r="R34" s="24">
        <f t="shared" si="3"/>
        <v>100.57770000000001</v>
      </c>
      <c r="S34" s="25">
        <f t="shared" si="4"/>
        <v>1005.777</v>
      </c>
    </row>
    <row r="35" spans="1:19" ht="16" hidden="1" x14ac:dyDescent="0.2">
      <c r="A35" s="51">
        <v>45824</v>
      </c>
      <c r="B35" s="88" t="s">
        <v>68</v>
      </c>
      <c r="C35" s="57" t="s">
        <v>20</v>
      </c>
      <c r="D35" s="57" t="s">
        <v>2</v>
      </c>
      <c r="E35" s="62">
        <v>30</v>
      </c>
      <c r="F35" s="5">
        <v>0</v>
      </c>
      <c r="G35" s="5"/>
      <c r="H35" s="68" t="s">
        <v>60</v>
      </c>
      <c r="I35" s="76">
        <v>420</v>
      </c>
      <c r="J35" s="11" t="s">
        <v>78</v>
      </c>
      <c r="K35" s="6">
        <v>12.6</v>
      </c>
      <c r="L35" s="76">
        <v>14</v>
      </c>
      <c r="M35" s="12">
        <v>0</v>
      </c>
      <c r="N35" s="6"/>
      <c r="O35" s="19">
        <f t="shared" si="1"/>
        <v>11.34</v>
      </c>
      <c r="P35" s="19">
        <f t="shared" si="7"/>
        <v>7.9380000000000006</v>
      </c>
      <c r="Q35" s="6">
        <v>6.75</v>
      </c>
      <c r="R35" s="24">
        <f t="shared" si="3"/>
        <v>1.1880000000000006</v>
      </c>
      <c r="S35" s="25">
        <f t="shared" si="4"/>
        <v>35.640000000000015</v>
      </c>
    </row>
    <row r="36" spans="1:19" ht="16" hidden="1" x14ac:dyDescent="0.2">
      <c r="A36" s="51">
        <v>45838</v>
      </c>
      <c r="B36" s="88" t="s">
        <v>69</v>
      </c>
      <c r="C36" s="57" t="s">
        <v>20</v>
      </c>
      <c r="D36" s="57" t="s">
        <v>2</v>
      </c>
      <c r="E36" s="62">
        <v>30</v>
      </c>
      <c r="F36" s="5">
        <v>0</v>
      </c>
      <c r="G36" s="5"/>
      <c r="H36" s="68" t="s">
        <v>60</v>
      </c>
      <c r="I36" s="76">
        <v>420</v>
      </c>
      <c r="J36" s="11" t="s">
        <v>78</v>
      </c>
      <c r="K36" s="6">
        <v>12.6</v>
      </c>
      <c r="L36" s="76">
        <v>14</v>
      </c>
      <c r="M36" s="12">
        <v>0</v>
      </c>
      <c r="N36" s="6"/>
      <c r="O36" s="19">
        <f t="shared" si="1"/>
        <v>11.34</v>
      </c>
      <c r="P36" s="19">
        <f t="shared" si="7"/>
        <v>7.9380000000000006</v>
      </c>
      <c r="Q36" s="6">
        <v>6.75</v>
      </c>
      <c r="R36" s="24">
        <f t="shared" si="3"/>
        <v>1.1880000000000006</v>
      </c>
      <c r="S36" s="25">
        <f t="shared" si="4"/>
        <v>35.640000000000015</v>
      </c>
    </row>
    <row r="37" spans="1:19" ht="16" hidden="1" x14ac:dyDescent="0.2">
      <c r="A37" s="51">
        <v>45832</v>
      </c>
      <c r="B37" s="88" t="s">
        <v>70</v>
      </c>
      <c r="C37" s="57" t="s">
        <v>20</v>
      </c>
      <c r="D37" s="57" t="s">
        <v>2</v>
      </c>
      <c r="E37" s="62">
        <v>30</v>
      </c>
      <c r="F37" s="5">
        <v>0</v>
      </c>
      <c r="G37" s="5"/>
      <c r="H37" s="68" t="s">
        <v>60</v>
      </c>
      <c r="I37" s="76">
        <v>420</v>
      </c>
      <c r="J37" s="11" t="s">
        <v>78</v>
      </c>
      <c r="K37" s="6">
        <v>12.6</v>
      </c>
      <c r="L37" s="76">
        <v>14</v>
      </c>
      <c r="M37" s="12">
        <v>0</v>
      </c>
      <c r="N37" s="6"/>
      <c r="O37" s="19">
        <f t="shared" si="1"/>
        <v>11.34</v>
      </c>
      <c r="P37" s="19">
        <f t="shared" si="7"/>
        <v>7.9380000000000006</v>
      </c>
      <c r="Q37" s="6">
        <v>6.75</v>
      </c>
      <c r="R37" s="24">
        <f t="shared" si="3"/>
        <v>1.1880000000000006</v>
      </c>
      <c r="S37" s="25">
        <f t="shared" si="4"/>
        <v>35.640000000000015</v>
      </c>
    </row>
    <row r="38" spans="1:19" ht="16" hidden="1" x14ac:dyDescent="0.2">
      <c r="A38" s="51">
        <v>45834</v>
      </c>
      <c r="B38" s="88" t="s">
        <v>25</v>
      </c>
      <c r="C38" s="57" t="s">
        <v>20</v>
      </c>
      <c r="D38" s="57" t="s">
        <v>2</v>
      </c>
      <c r="E38" s="62">
        <v>30</v>
      </c>
      <c r="F38" s="5">
        <v>0</v>
      </c>
      <c r="G38" s="5"/>
      <c r="H38" s="68" t="s">
        <v>60</v>
      </c>
      <c r="I38" s="76">
        <v>420</v>
      </c>
      <c r="J38" s="11" t="s">
        <v>78</v>
      </c>
      <c r="K38" s="6">
        <v>12.6</v>
      </c>
      <c r="L38" s="76">
        <v>14</v>
      </c>
      <c r="M38" s="12">
        <v>0</v>
      </c>
      <c r="N38" s="6"/>
      <c r="O38" s="19">
        <f t="shared" si="1"/>
        <v>11.34</v>
      </c>
      <c r="P38" s="19">
        <f t="shared" si="7"/>
        <v>7.9380000000000006</v>
      </c>
      <c r="Q38" s="6">
        <v>6.75</v>
      </c>
      <c r="R38" s="24">
        <f t="shared" si="3"/>
        <v>1.1880000000000006</v>
      </c>
      <c r="S38" s="25">
        <f t="shared" si="4"/>
        <v>35.640000000000015</v>
      </c>
    </row>
    <row r="39" spans="1:19" ht="16" hidden="1" x14ac:dyDescent="0.2">
      <c r="A39" s="51">
        <v>45806</v>
      </c>
      <c r="B39" s="88" t="s">
        <v>23</v>
      </c>
      <c r="C39" s="57" t="s">
        <v>20</v>
      </c>
      <c r="D39" s="57" t="s">
        <v>10</v>
      </c>
      <c r="E39" s="62">
        <v>10</v>
      </c>
      <c r="F39" s="5">
        <v>0</v>
      </c>
      <c r="G39" s="5"/>
      <c r="H39" s="68" t="s">
        <v>59</v>
      </c>
      <c r="I39" s="76">
        <v>778.6</v>
      </c>
      <c r="J39" s="11" t="s">
        <v>77</v>
      </c>
      <c r="K39" s="21">
        <v>69.290000000000006</v>
      </c>
      <c r="L39" s="76">
        <v>77.86</v>
      </c>
      <c r="M39" s="12">
        <f t="shared" ref="M39:M71" si="8">I39*30%</f>
        <v>233.57999999999998</v>
      </c>
      <c r="N39" s="6"/>
      <c r="O39" s="19">
        <f t="shared" si="1"/>
        <v>62.361000000000004</v>
      </c>
      <c r="P39" s="19">
        <f t="shared" si="7"/>
        <v>43.652700000000003</v>
      </c>
      <c r="Q39" s="6">
        <v>30</v>
      </c>
      <c r="R39" s="24">
        <f t="shared" si="3"/>
        <v>13.652700000000003</v>
      </c>
      <c r="S39" s="25">
        <f t="shared" si="4"/>
        <v>136.52700000000004</v>
      </c>
    </row>
    <row r="40" spans="1:19" ht="16" hidden="1" x14ac:dyDescent="0.2">
      <c r="A40" s="51">
        <v>45792</v>
      </c>
      <c r="B40" s="88" t="s">
        <v>24</v>
      </c>
      <c r="C40" s="57" t="s">
        <v>20</v>
      </c>
      <c r="D40" s="57" t="s">
        <v>10</v>
      </c>
      <c r="E40" s="62">
        <v>10</v>
      </c>
      <c r="F40" s="5">
        <v>0</v>
      </c>
      <c r="G40" s="5"/>
      <c r="H40" s="68" t="s">
        <v>59</v>
      </c>
      <c r="I40" s="76">
        <v>778.6</v>
      </c>
      <c r="J40" s="11" t="s">
        <v>77</v>
      </c>
      <c r="K40" s="21">
        <v>69.290000000000006</v>
      </c>
      <c r="L40" s="76">
        <v>77.86</v>
      </c>
      <c r="M40" s="12">
        <f t="shared" si="8"/>
        <v>233.57999999999998</v>
      </c>
      <c r="N40" s="6"/>
      <c r="O40" s="19">
        <f t="shared" si="1"/>
        <v>62.361000000000004</v>
      </c>
      <c r="P40" s="19">
        <f t="shared" si="7"/>
        <v>43.652700000000003</v>
      </c>
      <c r="Q40" s="6">
        <v>30</v>
      </c>
      <c r="R40" s="24">
        <f t="shared" si="3"/>
        <v>13.652700000000003</v>
      </c>
      <c r="S40" s="25">
        <f t="shared" si="4"/>
        <v>136.52700000000004</v>
      </c>
    </row>
    <row r="41" spans="1:19" ht="16" hidden="1" x14ac:dyDescent="0.2">
      <c r="A41" s="51">
        <v>45806</v>
      </c>
      <c r="B41" s="88" t="s">
        <v>23</v>
      </c>
      <c r="C41" s="57" t="s">
        <v>20</v>
      </c>
      <c r="D41" s="57" t="s">
        <v>11</v>
      </c>
      <c r="E41" s="62">
        <v>10</v>
      </c>
      <c r="F41" s="5">
        <v>0</v>
      </c>
      <c r="G41" s="5"/>
      <c r="H41" s="68" t="s">
        <v>59</v>
      </c>
      <c r="I41" s="76">
        <v>500</v>
      </c>
      <c r="J41" s="11" t="s">
        <v>77</v>
      </c>
      <c r="K41" s="6">
        <v>45</v>
      </c>
      <c r="L41" s="76">
        <v>50</v>
      </c>
      <c r="M41" s="12">
        <f t="shared" si="8"/>
        <v>150</v>
      </c>
      <c r="N41" s="6"/>
      <c r="O41" s="19">
        <f t="shared" si="1"/>
        <v>40.5</v>
      </c>
      <c r="P41" s="19">
        <f t="shared" si="7"/>
        <v>28.35</v>
      </c>
      <c r="Q41" s="6">
        <v>4.55</v>
      </c>
      <c r="R41" s="24">
        <f t="shared" si="3"/>
        <v>23.8</v>
      </c>
      <c r="S41" s="25">
        <f t="shared" si="4"/>
        <v>238</v>
      </c>
    </row>
    <row r="42" spans="1:19" ht="16" hidden="1" x14ac:dyDescent="0.2">
      <c r="A42" s="52">
        <v>45796</v>
      </c>
      <c r="B42" s="88" t="s">
        <v>37</v>
      </c>
      <c r="C42" s="57" t="s">
        <v>20</v>
      </c>
      <c r="D42" s="57" t="s">
        <v>11</v>
      </c>
      <c r="E42" s="62">
        <v>5</v>
      </c>
      <c r="F42" s="5">
        <v>0</v>
      </c>
      <c r="G42" s="5"/>
      <c r="H42" s="68" t="s">
        <v>59</v>
      </c>
      <c r="I42" s="76">
        <v>250</v>
      </c>
      <c r="J42" s="11" t="s">
        <v>77</v>
      </c>
      <c r="K42" s="6">
        <v>45</v>
      </c>
      <c r="L42" s="76">
        <v>50</v>
      </c>
      <c r="M42" s="12">
        <f t="shared" si="8"/>
        <v>75</v>
      </c>
      <c r="N42" s="6"/>
      <c r="O42" s="19">
        <f t="shared" si="1"/>
        <v>40.5</v>
      </c>
      <c r="P42" s="19">
        <f t="shared" si="7"/>
        <v>28.35</v>
      </c>
      <c r="Q42" s="6">
        <v>4.55</v>
      </c>
      <c r="R42" s="24">
        <f t="shared" si="3"/>
        <v>23.8</v>
      </c>
      <c r="S42" s="25">
        <f t="shared" si="4"/>
        <v>119</v>
      </c>
    </row>
    <row r="43" spans="1:19" ht="16" hidden="1" x14ac:dyDescent="0.2">
      <c r="A43" s="52">
        <v>45802</v>
      </c>
      <c r="B43" s="88" t="s">
        <v>38</v>
      </c>
      <c r="C43" s="57" t="s">
        <v>20</v>
      </c>
      <c r="D43" s="57" t="s">
        <v>11</v>
      </c>
      <c r="E43" s="62">
        <v>5</v>
      </c>
      <c r="F43" s="5">
        <v>0</v>
      </c>
      <c r="G43" s="5"/>
      <c r="H43" s="68" t="s">
        <v>59</v>
      </c>
      <c r="I43" s="76">
        <v>250</v>
      </c>
      <c r="J43" s="11" t="s">
        <v>77</v>
      </c>
      <c r="K43" s="6">
        <v>45</v>
      </c>
      <c r="L43" s="76">
        <v>50</v>
      </c>
      <c r="M43" s="12">
        <f t="shared" si="8"/>
        <v>75</v>
      </c>
      <c r="N43" s="6"/>
      <c r="O43" s="19">
        <f t="shared" si="1"/>
        <v>40.5</v>
      </c>
      <c r="P43" s="19">
        <f t="shared" si="7"/>
        <v>28.35</v>
      </c>
      <c r="Q43" s="6">
        <v>4.55</v>
      </c>
      <c r="R43" s="24">
        <f t="shared" si="3"/>
        <v>23.8</v>
      </c>
      <c r="S43" s="25">
        <f t="shared" si="4"/>
        <v>119</v>
      </c>
    </row>
    <row r="44" spans="1:19" ht="16" hidden="1" x14ac:dyDescent="0.2">
      <c r="A44" s="52">
        <v>45792</v>
      </c>
      <c r="B44" s="88" t="s">
        <v>39</v>
      </c>
      <c r="C44" s="57" t="s">
        <v>20</v>
      </c>
      <c r="D44" s="57" t="s">
        <v>11</v>
      </c>
      <c r="E44" s="62">
        <v>5</v>
      </c>
      <c r="F44" s="5">
        <v>0</v>
      </c>
      <c r="G44" s="5"/>
      <c r="H44" s="68" t="s">
        <v>59</v>
      </c>
      <c r="I44" s="76">
        <v>250</v>
      </c>
      <c r="J44" s="11" t="s">
        <v>77</v>
      </c>
      <c r="K44" s="6">
        <v>45</v>
      </c>
      <c r="L44" s="76">
        <v>50</v>
      </c>
      <c r="M44" s="12">
        <f t="shared" si="8"/>
        <v>75</v>
      </c>
      <c r="N44" s="6"/>
      <c r="O44" s="19">
        <f t="shared" si="1"/>
        <v>40.5</v>
      </c>
      <c r="P44" s="19">
        <f t="shared" si="7"/>
        <v>28.35</v>
      </c>
      <c r="Q44" s="6">
        <v>4.55</v>
      </c>
      <c r="R44" s="24">
        <f t="shared" si="3"/>
        <v>23.8</v>
      </c>
      <c r="S44" s="25">
        <f t="shared" si="4"/>
        <v>119</v>
      </c>
    </row>
    <row r="45" spans="1:19" ht="16" hidden="1" x14ac:dyDescent="0.2">
      <c r="A45" s="52">
        <v>45811</v>
      </c>
      <c r="B45" s="88" t="s">
        <v>40</v>
      </c>
      <c r="C45" s="57" t="s">
        <v>20</v>
      </c>
      <c r="D45" s="57" t="s">
        <v>11</v>
      </c>
      <c r="E45" s="62">
        <v>10</v>
      </c>
      <c r="F45" s="5">
        <v>0</v>
      </c>
      <c r="G45" s="5"/>
      <c r="H45" s="68" t="s">
        <v>59</v>
      </c>
      <c r="I45" s="76">
        <v>500</v>
      </c>
      <c r="J45" s="11" t="s">
        <v>78</v>
      </c>
      <c r="K45" s="6">
        <v>45</v>
      </c>
      <c r="L45" s="76">
        <v>50</v>
      </c>
      <c r="M45" s="12">
        <f t="shared" si="8"/>
        <v>150</v>
      </c>
      <c r="N45" s="6"/>
      <c r="O45" s="19">
        <f t="shared" si="1"/>
        <v>40.5</v>
      </c>
      <c r="P45" s="19">
        <f t="shared" si="7"/>
        <v>28.35</v>
      </c>
      <c r="Q45" s="6">
        <v>4.55</v>
      </c>
      <c r="R45" s="24">
        <f t="shared" si="3"/>
        <v>23.8</v>
      </c>
      <c r="S45" s="25">
        <f t="shared" si="4"/>
        <v>238</v>
      </c>
    </row>
    <row r="46" spans="1:19" ht="16" hidden="1" x14ac:dyDescent="0.2">
      <c r="A46" s="52">
        <v>45805</v>
      </c>
      <c r="B46" s="88" t="s">
        <v>41</v>
      </c>
      <c r="C46" s="57" t="s">
        <v>20</v>
      </c>
      <c r="D46" s="57" t="s">
        <v>12</v>
      </c>
      <c r="E46" s="62">
        <v>10</v>
      </c>
      <c r="F46" s="5">
        <v>0</v>
      </c>
      <c r="G46" s="5"/>
      <c r="H46" s="68" t="s">
        <v>59</v>
      </c>
      <c r="I46" s="77">
        <v>1021.4</v>
      </c>
      <c r="J46" s="11" t="s">
        <v>77</v>
      </c>
      <c r="K46" s="19">
        <v>92.86</v>
      </c>
      <c r="L46" s="76">
        <v>102.14</v>
      </c>
      <c r="M46" s="12">
        <f t="shared" si="8"/>
        <v>306.41999999999996</v>
      </c>
      <c r="N46" s="6"/>
      <c r="O46" s="19">
        <f t="shared" si="1"/>
        <v>83.573999999999998</v>
      </c>
      <c r="P46" s="19">
        <f t="shared" si="7"/>
        <v>58.501800000000003</v>
      </c>
      <c r="Q46" s="6">
        <v>6.8</v>
      </c>
      <c r="R46" s="24">
        <f t="shared" si="3"/>
        <v>51.701800000000006</v>
      </c>
      <c r="S46" s="25">
        <f t="shared" si="4"/>
        <v>517.01800000000003</v>
      </c>
    </row>
    <row r="47" spans="1:19" ht="16" hidden="1" x14ac:dyDescent="0.2">
      <c r="A47" s="52">
        <v>45808</v>
      </c>
      <c r="B47" s="88" t="s">
        <v>31</v>
      </c>
      <c r="C47" s="57" t="s">
        <v>20</v>
      </c>
      <c r="D47" s="57" t="s">
        <v>12</v>
      </c>
      <c r="E47" s="62">
        <v>10</v>
      </c>
      <c r="F47" s="5">
        <v>0</v>
      </c>
      <c r="G47" s="5"/>
      <c r="H47" s="68" t="s">
        <v>59</v>
      </c>
      <c r="I47" s="77">
        <v>1021.4</v>
      </c>
      <c r="J47" s="11" t="s">
        <v>77</v>
      </c>
      <c r="K47" s="19">
        <v>92.86</v>
      </c>
      <c r="L47" s="76">
        <v>102.14</v>
      </c>
      <c r="M47" s="12">
        <f t="shared" si="8"/>
        <v>306.41999999999996</v>
      </c>
      <c r="N47" s="6"/>
      <c r="O47" s="19">
        <f t="shared" si="1"/>
        <v>83.573999999999998</v>
      </c>
      <c r="P47" s="19">
        <f t="shared" si="7"/>
        <v>58.501800000000003</v>
      </c>
      <c r="Q47" s="6">
        <v>6.8</v>
      </c>
      <c r="R47" s="24">
        <f t="shared" si="3"/>
        <v>51.701800000000006</v>
      </c>
      <c r="S47" s="25">
        <f t="shared" si="4"/>
        <v>517.01800000000003</v>
      </c>
    </row>
    <row r="48" spans="1:19" ht="16" hidden="1" x14ac:dyDescent="0.2">
      <c r="A48" s="52">
        <v>45796</v>
      </c>
      <c r="B48" s="88" t="s">
        <v>37</v>
      </c>
      <c r="C48" s="57" t="s">
        <v>20</v>
      </c>
      <c r="D48" s="57" t="s">
        <v>12</v>
      </c>
      <c r="E48" s="62">
        <v>5</v>
      </c>
      <c r="F48" s="5">
        <v>0</v>
      </c>
      <c r="G48" s="5"/>
      <c r="H48" s="68" t="s">
        <v>59</v>
      </c>
      <c r="I48" s="76">
        <v>510.7</v>
      </c>
      <c r="J48" s="11" t="s">
        <v>77</v>
      </c>
      <c r="K48" s="19">
        <v>92.86</v>
      </c>
      <c r="L48" s="76">
        <v>102.14</v>
      </c>
      <c r="M48" s="12">
        <f t="shared" si="8"/>
        <v>153.20999999999998</v>
      </c>
      <c r="N48" s="6"/>
      <c r="O48" s="19">
        <f t="shared" si="1"/>
        <v>83.573999999999998</v>
      </c>
      <c r="P48" s="19">
        <f t="shared" si="7"/>
        <v>58.501800000000003</v>
      </c>
      <c r="Q48" s="6">
        <v>6.8</v>
      </c>
      <c r="R48" s="24">
        <f t="shared" si="3"/>
        <v>51.701800000000006</v>
      </c>
      <c r="S48" s="25">
        <f t="shared" si="4"/>
        <v>258.50900000000001</v>
      </c>
    </row>
    <row r="49" spans="1:19" ht="16" hidden="1" x14ac:dyDescent="0.2">
      <c r="A49" s="52">
        <v>45823</v>
      </c>
      <c r="B49" s="88" t="s">
        <v>42</v>
      </c>
      <c r="C49" s="57" t="s">
        <v>20</v>
      </c>
      <c r="D49" s="57" t="s">
        <v>12</v>
      </c>
      <c r="E49" s="62">
        <v>10</v>
      </c>
      <c r="F49" s="5">
        <v>0</v>
      </c>
      <c r="G49" s="5"/>
      <c r="H49" s="68" t="s">
        <v>59</v>
      </c>
      <c r="I49" s="77">
        <v>1021.4</v>
      </c>
      <c r="J49" s="11" t="s">
        <v>78</v>
      </c>
      <c r="K49" s="19">
        <v>92.86</v>
      </c>
      <c r="L49" s="76">
        <v>102.14</v>
      </c>
      <c r="M49" s="12">
        <f t="shared" si="8"/>
        <v>306.41999999999996</v>
      </c>
      <c r="N49" s="6"/>
      <c r="O49" s="19">
        <f t="shared" si="1"/>
        <v>83.573999999999998</v>
      </c>
      <c r="P49" s="19">
        <f t="shared" si="7"/>
        <v>58.501800000000003</v>
      </c>
      <c r="Q49" s="6">
        <v>6.8</v>
      </c>
      <c r="R49" s="24">
        <f t="shared" si="3"/>
        <v>51.701800000000006</v>
      </c>
      <c r="S49" s="25">
        <f t="shared" si="4"/>
        <v>517.01800000000003</v>
      </c>
    </row>
    <row r="50" spans="1:19" ht="16" hidden="1" x14ac:dyDescent="0.2">
      <c r="A50" s="52">
        <v>45829</v>
      </c>
      <c r="B50" s="88" t="s">
        <v>43</v>
      </c>
      <c r="C50" s="57" t="s">
        <v>20</v>
      </c>
      <c r="D50" s="57" t="s">
        <v>12</v>
      </c>
      <c r="E50" s="62">
        <v>10</v>
      </c>
      <c r="F50" s="5">
        <v>0</v>
      </c>
      <c r="G50" s="5"/>
      <c r="H50" s="68" t="s">
        <v>59</v>
      </c>
      <c r="I50" s="77">
        <v>1021.4</v>
      </c>
      <c r="J50" s="11" t="s">
        <v>78</v>
      </c>
      <c r="K50" s="19">
        <v>92.86</v>
      </c>
      <c r="L50" s="76">
        <v>102.14</v>
      </c>
      <c r="M50" s="12">
        <f t="shared" si="8"/>
        <v>306.41999999999996</v>
      </c>
      <c r="N50" s="6"/>
      <c r="O50" s="19">
        <f t="shared" si="1"/>
        <v>83.573999999999998</v>
      </c>
      <c r="P50" s="19">
        <f t="shared" si="7"/>
        <v>58.501800000000003</v>
      </c>
      <c r="Q50" s="6">
        <v>6.8</v>
      </c>
      <c r="R50" s="24">
        <f t="shared" si="3"/>
        <v>51.701800000000006</v>
      </c>
      <c r="S50" s="25">
        <f t="shared" si="4"/>
        <v>517.01800000000003</v>
      </c>
    </row>
    <row r="51" spans="1:19" ht="16" hidden="1" x14ac:dyDescent="0.2">
      <c r="A51" s="52">
        <v>45835</v>
      </c>
      <c r="B51" s="88" t="s">
        <v>44</v>
      </c>
      <c r="C51" s="57" t="s">
        <v>20</v>
      </c>
      <c r="D51" s="57" t="s">
        <v>12</v>
      </c>
      <c r="E51" s="62">
        <v>5</v>
      </c>
      <c r="F51" s="5">
        <v>0</v>
      </c>
      <c r="G51" s="5"/>
      <c r="H51" s="68" t="s">
        <v>59</v>
      </c>
      <c r="I51" s="76">
        <v>510.7</v>
      </c>
      <c r="J51" s="11" t="s">
        <v>78</v>
      </c>
      <c r="K51" s="19">
        <v>92.86</v>
      </c>
      <c r="L51" s="76">
        <v>102.14</v>
      </c>
      <c r="M51" s="12">
        <f t="shared" si="8"/>
        <v>153.20999999999998</v>
      </c>
      <c r="N51" s="6"/>
      <c r="O51" s="19">
        <f t="shared" si="1"/>
        <v>83.573999999999998</v>
      </c>
      <c r="P51" s="19">
        <f t="shared" si="7"/>
        <v>58.501800000000003</v>
      </c>
      <c r="Q51" s="6">
        <v>6.8</v>
      </c>
      <c r="R51" s="24">
        <f t="shared" si="3"/>
        <v>51.701800000000006</v>
      </c>
      <c r="S51" s="25">
        <f t="shared" si="4"/>
        <v>258.50900000000001</v>
      </c>
    </row>
    <row r="52" spans="1:19" ht="16" hidden="1" x14ac:dyDescent="0.2">
      <c r="A52" s="52">
        <v>45826</v>
      </c>
      <c r="B52" s="88" t="s">
        <v>45</v>
      </c>
      <c r="C52" s="57" t="s">
        <v>20</v>
      </c>
      <c r="D52" s="57" t="s">
        <v>12</v>
      </c>
      <c r="E52" s="62">
        <v>10</v>
      </c>
      <c r="F52" s="5">
        <v>0</v>
      </c>
      <c r="G52" s="5"/>
      <c r="H52" s="68" t="s">
        <v>59</v>
      </c>
      <c r="I52" s="77">
        <v>1021.4</v>
      </c>
      <c r="J52" s="11" t="s">
        <v>78</v>
      </c>
      <c r="K52" s="19">
        <v>92.86</v>
      </c>
      <c r="L52" s="76">
        <v>102.14</v>
      </c>
      <c r="M52" s="12">
        <f t="shared" si="8"/>
        <v>306.41999999999996</v>
      </c>
      <c r="N52" s="6"/>
      <c r="O52" s="19">
        <f t="shared" si="1"/>
        <v>83.573999999999998</v>
      </c>
      <c r="P52" s="19">
        <f t="shared" si="7"/>
        <v>58.501800000000003</v>
      </c>
      <c r="Q52" s="6">
        <v>6.8</v>
      </c>
      <c r="R52" s="24">
        <f t="shared" si="3"/>
        <v>51.701800000000006</v>
      </c>
      <c r="S52" s="25">
        <f t="shared" si="4"/>
        <v>517.01800000000003</v>
      </c>
    </row>
    <row r="53" spans="1:19" ht="16" hidden="1" x14ac:dyDescent="0.2">
      <c r="A53" s="52">
        <v>45815</v>
      </c>
      <c r="B53" s="88" t="s">
        <v>46</v>
      </c>
      <c r="C53" s="57" t="s">
        <v>20</v>
      </c>
      <c r="D53" s="57" t="s">
        <v>12</v>
      </c>
      <c r="E53" s="62">
        <v>10</v>
      </c>
      <c r="F53" s="5">
        <v>0</v>
      </c>
      <c r="G53" s="5"/>
      <c r="H53" s="68" t="s">
        <v>59</v>
      </c>
      <c r="I53" s="77">
        <v>1021.4</v>
      </c>
      <c r="J53" s="11" t="s">
        <v>78</v>
      </c>
      <c r="K53" s="19">
        <v>92.86</v>
      </c>
      <c r="L53" s="76">
        <v>102.14</v>
      </c>
      <c r="M53" s="12">
        <f t="shared" si="8"/>
        <v>306.41999999999996</v>
      </c>
      <c r="N53" s="6"/>
      <c r="O53" s="19">
        <f t="shared" si="1"/>
        <v>83.573999999999998</v>
      </c>
      <c r="P53" s="19">
        <f t="shared" si="7"/>
        <v>58.501800000000003</v>
      </c>
      <c r="Q53" s="6">
        <v>6.8</v>
      </c>
      <c r="R53" s="24">
        <f t="shared" si="3"/>
        <v>51.701800000000006</v>
      </c>
      <c r="S53" s="25">
        <f t="shared" si="4"/>
        <v>517.01800000000003</v>
      </c>
    </row>
    <row r="54" spans="1:19" ht="16" hidden="1" x14ac:dyDescent="0.2">
      <c r="A54" s="52">
        <v>45811</v>
      </c>
      <c r="B54" s="88" t="s">
        <v>40</v>
      </c>
      <c r="C54" s="57" t="s">
        <v>20</v>
      </c>
      <c r="D54" s="57" t="s">
        <v>12</v>
      </c>
      <c r="E54" s="62">
        <v>10</v>
      </c>
      <c r="F54" s="5">
        <v>0</v>
      </c>
      <c r="G54" s="5"/>
      <c r="H54" s="68" t="s">
        <v>59</v>
      </c>
      <c r="I54" s="77">
        <v>1021.4</v>
      </c>
      <c r="J54" s="11" t="s">
        <v>78</v>
      </c>
      <c r="K54" s="19">
        <v>92.86</v>
      </c>
      <c r="L54" s="76">
        <v>102.14</v>
      </c>
      <c r="M54" s="12">
        <f t="shared" si="8"/>
        <v>306.41999999999996</v>
      </c>
      <c r="N54" s="6"/>
      <c r="O54" s="19">
        <f t="shared" si="1"/>
        <v>83.573999999999998</v>
      </c>
      <c r="P54" s="19">
        <f t="shared" si="7"/>
        <v>58.501800000000003</v>
      </c>
      <c r="Q54" s="6">
        <v>6.8</v>
      </c>
      <c r="R54" s="24">
        <f t="shared" si="3"/>
        <v>51.701800000000006</v>
      </c>
      <c r="S54" s="25">
        <f t="shared" si="4"/>
        <v>517.01800000000003</v>
      </c>
    </row>
    <row r="55" spans="1:19" ht="16" hidden="1" x14ac:dyDescent="0.2">
      <c r="A55" s="52">
        <v>45818</v>
      </c>
      <c r="B55" s="88" t="s">
        <v>47</v>
      </c>
      <c r="C55" s="57" t="s">
        <v>20</v>
      </c>
      <c r="D55" s="57" t="s">
        <v>12</v>
      </c>
      <c r="E55" s="62">
        <v>10</v>
      </c>
      <c r="F55" s="5">
        <v>0</v>
      </c>
      <c r="G55" s="5"/>
      <c r="H55" s="68" t="s">
        <v>59</v>
      </c>
      <c r="I55" s="77">
        <v>1021.4</v>
      </c>
      <c r="J55" s="11" t="s">
        <v>78</v>
      </c>
      <c r="K55" s="19">
        <v>92.86</v>
      </c>
      <c r="L55" s="76">
        <v>102.14</v>
      </c>
      <c r="M55" s="12">
        <f t="shared" si="8"/>
        <v>306.41999999999996</v>
      </c>
      <c r="N55" s="6"/>
      <c r="O55" s="19">
        <f t="shared" si="1"/>
        <v>83.573999999999998</v>
      </c>
      <c r="P55" s="19">
        <f t="shared" si="7"/>
        <v>58.501800000000003</v>
      </c>
      <c r="Q55" s="6">
        <v>6.8</v>
      </c>
      <c r="R55" s="24">
        <f t="shared" si="3"/>
        <v>51.701800000000006</v>
      </c>
      <c r="S55" s="25">
        <f t="shared" si="4"/>
        <v>517.01800000000003</v>
      </c>
    </row>
    <row r="56" spans="1:19" ht="16" hidden="1" x14ac:dyDescent="0.2">
      <c r="A56" s="52">
        <v>45831</v>
      </c>
      <c r="B56" s="88" t="s">
        <v>48</v>
      </c>
      <c r="C56" s="57" t="s">
        <v>20</v>
      </c>
      <c r="D56" s="57" t="s">
        <v>3</v>
      </c>
      <c r="E56" s="62">
        <v>10</v>
      </c>
      <c r="F56" s="5">
        <v>0</v>
      </c>
      <c r="G56" s="5"/>
      <c r="H56" s="68" t="s">
        <v>59</v>
      </c>
      <c r="I56" s="77">
        <v>1557.1</v>
      </c>
      <c r="J56" s="11" t="s">
        <v>78</v>
      </c>
      <c r="K56" s="19">
        <v>140.13999999999999</v>
      </c>
      <c r="L56" s="76">
        <v>155.71</v>
      </c>
      <c r="M56" s="12">
        <f t="shared" si="8"/>
        <v>467.12999999999994</v>
      </c>
      <c r="N56" s="6"/>
      <c r="O56" s="19">
        <f t="shared" si="1"/>
        <v>126.12599999999999</v>
      </c>
      <c r="P56" s="19">
        <f t="shared" si="7"/>
        <v>88.288199999999989</v>
      </c>
      <c r="Q56" s="6">
        <v>9</v>
      </c>
      <c r="R56" s="24">
        <f t="shared" si="3"/>
        <v>79.288199999999989</v>
      </c>
      <c r="S56" s="25">
        <f t="shared" si="4"/>
        <v>792.88199999999983</v>
      </c>
    </row>
    <row r="57" spans="1:19" ht="16" hidden="1" x14ac:dyDescent="0.2">
      <c r="A57" s="52">
        <v>45814</v>
      </c>
      <c r="B57" s="88" t="s">
        <v>49</v>
      </c>
      <c r="C57" s="57" t="s">
        <v>20</v>
      </c>
      <c r="D57" s="57" t="s">
        <v>3</v>
      </c>
      <c r="E57" s="62">
        <v>9</v>
      </c>
      <c r="F57" s="5">
        <v>0</v>
      </c>
      <c r="G57" s="5"/>
      <c r="H57" s="68" t="s">
        <v>59</v>
      </c>
      <c r="I57" s="77">
        <v>1401.39</v>
      </c>
      <c r="J57" s="11" t="s">
        <v>78</v>
      </c>
      <c r="K57" s="19">
        <v>140.13999999999999</v>
      </c>
      <c r="L57" s="76">
        <v>155.71</v>
      </c>
      <c r="M57" s="12">
        <f t="shared" si="8"/>
        <v>420.41700000000003</v>
      </c>
      <c r="N57" s="6"/>
      <c r="O57" s="19">
        <f t="shared" si="1"/>
        <v>126.12599999999999</v>
      </c>
      <c r="P57" s="19">
        <f t="shared" si="7"/>
        <v>88.288199999999989</v>
      </c>
      <c r="Q57" s="6">
        <v>9</v>
      </c>
      <c r="R57" s="24">
        <f t="shared" si="3"/>
        <v>79.288199999999989</v>
      </c>
      <c r="S57" s="25">
        <f t="shared" si="4"/>
        <v>713.59379999999987</v>
      </c>
    </row>
    <row r="58" spans="1:19" ht="16" hidden="1" x14ac:dyDescent="0.2">
      <c r="A58" s="52">
        <v>45816</v>
      </c>
      <c r="B58" s="88" t="s">
        <v>50</v>
      </c>
      <c r="C58" s="57" t="s">
        <v>20</v>
      </c>
      <c r="D58" s="57" t="s">
        <v>3</v>
      </c>
      <c r="E58" s="62">
        <v>10</v>
      </c>
      <c r="F58" s="5">
        <v>0</v>
      </c>
      <c r="G58" s="5"/>
      <c r="H58" s="68" t="s">
        <v>59</v>
      </c>
      <c r="I58" s="77">
        <v>1557.1</v>
      </c>
      <c r="J58" s="11" t="s">
        <v>78</v>
      </c>
      <c r="K58" s="19">
        <v>140.13999999999999</v>
      </c>
      <c r="L58" s="76">
        <v>155.71</v>
      </c>
      <c r="M58" s="12">
        <f t="shared" si="8"/>
        <v>467.12999999999994</v>
      </c>
      <c r="N58" s="6"/>
      <c r="O58" s="19">
        <f t="shared" si="1"/>
        <v>126.12599999999999</v>
      </c>
      <c r="P58" s="19">
        <f t="shared" si="7"/>
        <v>88.288199999999989</v>
      </c>
      <c r="Q58" s="6">
        <v>9</v>
      </c>
      <c r="R58" s="24">
        <f t="shared" si="3"/>
        <v>79.288199999999989</v>
      </c>
      <c r="S58" s="25">
        <f t="shared" si="4"/>
        <v>792.88199999999983</v>
      </c>
    </row>
    <row r="59" spans="1:19" ht="16" hidden="1" x14ac:dyDescent="0.2">
      <c r="A59" s="52">
        <v>45817</v>
      </c>
      <c r="B59" s="88" t="s">
        <v>51</v>
      </c>
      <c r="C59" s="57" t="s">
        <v>20</v>
      </c>
      <c r="D59" s="57" t="s">
        <v>3</v>
      </c>
      <c r="E59" s="62">
        <v>9</v>
      </c>
      <c r="F59" s="5">
        <v>0</v>
      </c>
      <c r="G59" s="5"/>
      <c r="H59" s="68" t="s">
        <v>59</v>
      </c>
      <c r="I59" s="77">
        <v>1401.39</v>
      </c>
      <c r="J59" s="11" t="s">
        <v>78</v>
      </c>
      <c r="K59" s="19">
        <v>140.13999999999999</v>
      </c>
      <c r="L59" s="76">
        <v>155.71</v>
      </c>
      <c r="M59" s="12">
        <f t="shared" si="8"/>
        <v>420.41700000000003</v>
      </c>
      <c r="N59" s="6"/>
      <c r="O59" s="19">
        <f t="shared" si="1"/>
        <v>126.12599999999999</v>
      </c>
      <c r="P59" s="19">
        <f t="shared" si="7"/>
        <v>88.288199999999989</v>
      </c>
      <c r="Q59" s="6">
        <v>9</v>
      </c>
      <c r="R59" s="24">
        <f t="shared" si="3"/>
        <v>79.288199999999989</v>
      </c>
      <c r="S59" s="25">
        <f t="shared" si="4"/>
        <v>713.59379999999987</v>
      </c>
    </row>
    <row r="60" spans="1:19" ht="16" hidden="1" x14ac:dyDescent="0.2">
      <c r="A60" s="52">
        <v>45805</v>
      </c>
      <c r="B60" s="88" t="s">
        <v>41</v>
      </c>
      <c r="C60" s="57" t="s">
        <v>20</v>
      </c>
      <c r="D60" s="57" t="s">
        <v>13</v>
      </c>
      <c r="E60" s="62">
        <v>10</v>
      </c>
      <c r="F60" s="5">
        <v>0</v>
      </c>
      <c r="G60" s="5"/>
      <c r="H60" s="68" t="s">
        <v>59</v>
      </c>
      <c r="I60" s="77">
        <v>1092.9000000000001</v>
      </c>
      <c r="J60" s="11" t="s">
        <v>77</v>
      </c>
      <c r="K60" s="19">
        <v>98.36</v>
      </c>
      <c r="L60" s="76">
        <v>109.29</v>
      </c>
      <c r="M60" s="12">
        <f t="shared" si="8"/>
        <v>327.87</v>
      </c>
      <c r="N60" s="6"/>
      <c r="O60" s="19">
        <f t="shared" si="1"/>
        <v>88.524000000000001</v>
      </c>
      <c r="P60" s="19">
        <f t="shared" si="7"/>
        <v>61.966800000000006</v>
      </c>
      <c r="Q60" s="6">
        <v>7.2</v>
      </c>
      <c r="R60" s="24">
        <f t="shared" si="3"/>
        <v>54.766800000000003</v>
      </c>
      <c r="S60" s="25">
        <f t="shared" si="4"/>
        <v>547.66800000000001</v>
      </c>
    </row>
    <row r="61" spans="1:19" ht="16" hidden="1" x14ac:dyDescent="0.2">
      <c r="A61" s="52">
        <v>45804</v>
      </c>
      <c r="B61" s="88" t="s">
        <v>52</v>
      </c>
      <c r="C61" s="57" t="s">
        <v>20</v>
      </c>
      <c r="D61" s="57" t="s">
        <v>13</v>
      </c>
      <c r="E61" s="62">
        <v>10</v>
      </c>
      <c r="F61" s="5">
        <v>0</v>
      </c>
      <c r="G61" s="5"/>
      <c r="H61" s="68" t="s">
        <v>59</v>
      </c>
      <c r="I61" s="77">
        <v>1092.9000000000001</v>
      </c>
      <c r="J61" s="11" t="s">
        <v>77</v>
      </c>
      <c r="K61" s="19">
        <v>98.36</v>
      </c>
      <c r="L61" s="76">
        <v>109.29</v>
      </c>
      <c r="M61" s="12">
        <f t="shared" si="8"/>
        <v>327.87</v>
      </c>
      <c r="N61" s="6"/>
      <c r="O61" s="19">
        <f t="shared" si="1"/>
        <v>88.524000000000001</v>
      </c>
      <c r="P61" s="19">
        <f t="shared" si="7"/>
        <v>61.966800000000006</v>
      </c>
      <c r="Q61" s="6">
        <v>7.2</v>
      </c>
      <c r="R61" s="24">
        <f t="shared" si="3"/>
        <v>54.766800000000003</v>
      </c>
      <c r="S61" s="25">
        <f t="shared" si="4"/>
        <v>547.66800000000001</v>
      </c>
    </row>
    <row r="62" spans="1:19" ht="16" hidden="1" x14ac:dyDescent="0.2">
      <c r="A62" s="52">
        <v>45802</v>
      </c>
      <c r="B62" s="88" t="s">
        <v>38</v>
      </c>
      <c r="C62" s="57" t="s">
        <v>20</v>
      </c>
      <c r="D62" s="57" t="s">
        <v>13</v>
      </c>
      <c r="E62" s="62">
        <v>5</v>
      </c>
      <c r="F62" s="5">
        <v>0</v>
      </c>
      <c r="G62" s="5"/>
      <c r="H62" s="68" t="s">
        <v>59</v>
      </c>
      <c r="I62" s="76">
        <v>546.45000000000005</v>
      </c>
      <c r="J62" s="11" t="s">
        <v>77</v>
      </c>
      <c r="K62" s="19">
        <v>98.36</v>
      </c>
      <c r="L62" s="76">
        <v>109.29</v>
      </c>
      <c r="M62" s="12">
        <f t="shared" si="8"/>
        <v>163.935</v>
      </c>
      <c r="N62" s="6"/>
      <c r="O62" s="19">
        <f t="shared" si="1"/>
        <v>88.524000000000001</v>
      </c>
      <c r="P62" s="19">
        <f t="shared" si="7"/>
        <v>61.966800000000006</v>
      </c>
      <c r="Q62" s="6">
        <v>7.2</v>
      </c>
      <c r="R62" s="24">
        <f t="shared" si="3"/>
        <v>54.766800000000003</v>
      </c>
      <c r="S62" s="25">
        <f t="shared" si="4"/>
        <v>273.834</v>
      </c>
    </row>
    <row r="63" spans="1:19" ht="16" hidden="1" x14ac:dyDescent="0.2">
      <c r="A63" s="52">
        <v>45794</v>
      </c>
      <c r="B63" s="88" t="s">
        <v>53</v>
      </c>
      <c r="C63" s="57" t="s">
        <v>20</v>
      </c>
      <c r="D63" s="57" t="s">
        <v>13</v>
      </c>
      <c r="E63" s="62">
        <v>5</v>
      </c>
      <c r="F63" s="5">
        <v>0</v>
      </c>
      <c r="G63" s="5"/>
      <c r="H63" s="68" t="s">
        <v>59</v>
      </c>
      <c r="I63" s="76">
        <v>546.45000000000005</v>
      </c>
      <c r="J63" s="11" t="s">
        <v>77</v>
      </c>
      <c r="K63" s="19">
        <v>98.36</v>
      </c>
      <c r="L63" s="76">
        <v>109.29</v>
      </c>
      <c r="M63" s="12">
        <f t="shared" si="8"/>
        <v>163.935</v>
      </c>
      <c r="N63" s="6"/>
      <c r="O63" s="19">
        <f t="shared" si="1"/>
        <v>88.524000000000001</v>
      </c>
      <c r="P63" s="19">
        <f t="shared" si="7"/>
        <v>61.966800000000006</v>
      </c>
      <c r="Q63" s="6">
        <v>7.2</v>
      </c>
      <c r="R63" s="24">
        <f t="shared" si="3"/>
        <v>54.766800000000003</v>
      </c>
      <c r="S63" s="25">
        <f t="shared" si="4"/>
        <v>273.834</v>
      </c>
    </row>
    <row r="64" spans="1:19" ht="16" hidden="1" x14ac:dyDescent="0.2">
      <c r="A64" s="52">
        <v>45810</v>
      </c>
      <c r="B64" s="88" t="s">
        <v>54</v>
      </c>
      <c r="C64" s="57" t="s">
        <v>20</v>
      </c>
      <c r="D64" s="57" t="s">
        <v>13</v>
      </c>
      <c r="E64" s="62">
        <v>10</v>
      </c>
      <c r="F64" s="5">
        <v>0</v>
      </c>
      <c r="G64" s="5"/>
      <c r="H64" s="68" t="s">
        <v>59</v>
      </c>
      <c r="I64" s="77">
        <v>1092.9000000000001</v>
      </c>
      <c r="J64" s="11" t="s">
        <v>78</v>
      </c>
      <c r="K64" s="19">
        <v>98.36</v>
      </c>
      <c r="L64" s="76">
        <v>109.29</v>
      </c>
      <c r="M64" s="12">
        <f t="shared" si="8"/>
        <v>327.87</v>
      </c>
      <c r="N64" s="6"/>
      <c r="O64" s="19">
        <f t="shared" si="1"/>
        <v>88.524000000000001</v>
      </c>
      <c r="P64" s="19">
        <f t="shared" si="7"/>
        <v>61.966800000000006</v>
      </c>
      <c r="Q64" s="6">
        <v>7.2</v>
      </c>
      <c r="R64" s="24">
        <f t="shared" si="3"/>
        <v>54.766800000000003</v>
      </c>
      <c r="S64" s="25">
        <f t="shared" si="4"/>
        <v>547.66800000000001</v>
      </c>
    </row>
    <row r="65" spans="1:19" ht="16" hidden="1" x14ac:dyDescent="0.2">
      <c r="A65" s="52">
        <v>45821</v>
      </c>
      <c r="B65" s="88" t="s">
        <v>55</v>
      </c>
      <c r="C65" s="57" t="s">
        <v>20</v>
      </c>
      <c r="D65" s="57" t="s">
        <v>13</v>
      </c>
      <c r="E65" s="62">
        <v>10</v>
      </c>
      <c r="F65" s="5">
        <v>0</v>
      </c>
      <c r="G65" s="5"/>
      <c r="H65" s="68" t="s">
        <v>59</v>
      </c>
      <c r="I65" s="77">
        <v>1092.9000000000001</v>
      </c>
      <c r="J65" s="11" t="s">
        <v>78</v>
      </c>
      <c r="K65" s="19">
        <v>98.36</v>
      </c>
      <c r="L65" s="76">
        <v>109.29</v>
      </c>
      <c r="M65" s="12">
        <f t="shared" si="8"/>
        <v>327.87</v>
      </c>
      <c r="N65" s="6"/>
      <c r="O65" s="19">
        <f t="shared" si="1"/>
        <v>88.524000000000001</v>
      </c>
      <c r="P65" s="19">
        <f t="shared" si="7"/>
        <v>61.966800000000006</v>
      </c>
      <c r="Q65" s="6">
        <v>7.2</v>
      </c>
      <c r="R65" s="24">
        <f t="shared" si="3"/>
        <v>54.766800000000003</v>
      </c>
      <c r="S65" s="25">
        <f t="shared" si="4"/>
        <v>547.66800000000001</v>
      </c>
    </row>
    <row r="66" spans="1:19" ht="16" hidden="1" x14ac:dyDescent="0.2">
      <c r="A66" s="52">
        <v>45813</v>
      </c>
      <c r="B66" s="88" t="s">
        <v>56</v>
      </c>
      <c r="C66" s="57" t="s">
        <v>20</v>
      </c>
      <c r="D66" s="57" t="s">
        <v>13</v>
      </c>
      <c r="E66" s="62">
        <v>10</v>
      </c>
      <c r="F66" s="5">
        <v>0</v>
      </c>
      <c r="G66" s="5"/>
      <c r="H66" s="68" t="s">
        <v>59</v>
      </c>
      <c r="I66" s="77">
        <v>1092.9000000000001</v>
      </c>
      <c r="J66" s="11" t="s">
        <v>78</v>
      </c>
      <c r="K66" s="19">
        <v>98.36</v>
      </c>
      <c r="L66" s="76">
        <v>109.29</v>
      </c>
      <c r="M66" s="12">
        <f t="shared" si="8"/>
        <v>327.87</v>
      </c>
      <c r="N66" s="6"/>
      <c r="O66" s="19">
        <f t="shared" si="1"/>
        <v>88.524000000000001</v>
      </c>
      <c r="P66" s="19">
        <f t="shared" si="7"/>
        <v>61.966800000000006</v>
      </c>
      <c r="Q66" s="6">
        <v>7.2</v>
      </c>
      <c r="R66" s="24">
        <f t="shared" si="3"/>
        <v>54.766800000000003</v>
      </c>
      <c r="S66" s="25">
        <f t="shared" si="4"/>
        <v>547.66800000000001</v>
      </c>
    </row>
    <row r="67" spans="1:19" ht="16" hidden="1" x14ac:dyDescent="0.2">
      <c r="A67" s="52">
        <v>45819</v>
      </c>
      <c r="B67" s="89" t="s">
        <v>57</v>
      </c>
      <c r="C67" s="57" t="s">
        <v>20</v>
      </c>
      <c r="D67" s="57" t="s">
        <v>13</v>
      </c>
      <c r="E67" s="62">
        <v>10</v>
      </c>
      <c r="F67" s="5">
        <v>0</v>
      </c>
      <c r="G67" s="5"/>
      <c r="H67" s="68" t="s">
        <v>59</v>
      </c>
      <c r="I67" s="77">
        <v>1092.9000000000001</v>
      </c>
      <c r="J67" s="11" t="s">
        <v>78</v>
      </c>
      <c r="K67" s="19">
        <v>98.36</v>
      </c>
      <c r="L67" s="76">
        <v>109.29</v>
      </c>
      <c r="M67" s="12">
        <f t="shared" si="8"/>
        <v>327.87</v>
      </c>
      <c r="N67" s="6"/>
      <c r="O67" s="19">
        <f t="shared" ref="O67:O69" si="9">K67-K67*10%</f>
        <v>88.524000000000001</v>
      </c>
      <c r="P67" s="19">
        <f t="shared" si="7"/>
        <v>61.966800000000006</v>
      </c>
      <c r="Q67" s="6">
        <v>7.2</v>
      </c>
      <c r="R67" s="24">
        <f t="shared" ref="R67:R68" si="10">P67-Q67</f>
        <v>54.766800000000003</v>
      </c>
      <c r="S67" s="25">
        <f t="shared" ref="S67:S68" si="11">E67*R67</f>
        <v>547.66800000000001</v>
      </c>
    </row>
    <row r="68" spans="1:19" ht="16" hidden="1" x14ac:dyDescent="0.2">
      <c r="A68" s="52">
        <v>45812</v>
      </c>
      <c r="B68" s="88" t="s">
        <v>58</v>
      </c>
      <c r="C68" s="57" t="s">
        <v>20</v>
      </c>
      <c r="D68" s="57" t="s">
        <v>13</v>
      </c>
      <c r="E68" s="62">
        <v>10</v>
      </c>
      <c r="F68" s="5">
        <v>0</v>
      </c>
      <c r="G68" s="5"/>
      <c r="H68" s="68" t="s">
        <v>59</v>
      </c>
      <c r="I68" s="77">
        <v>1092.9000000000001</v>
      </c>
      <c r="J68" s="11" t="s">
        <v>78</v>
      </c>
      <c r="K68" s="19">
        <v>98.36</v>
      </c>
      <c r="L68" s="76">
        <v>109.29</v>
      </c>
      <c r="M68" s="12">
        <f t="shared" si="8"/>
        <v>327.87</v>
      </c>
      <c r="N68" s="6"/>
      <c r="O68" s="19">
        <f t="shared" si="9"/>
        <v>88.524000000000001</v>
      </c>
      <c r="P68" s="19">
        <f t="shared" si="7"/>
        <v>61.966800000000006</v>
      </c>
      <c r="Q68" s="6">
        <v>7.2</v>
      </c>
      <c r="R68" s="24">
        <f t="shared" si="10"/>
        <v>54.766800000000003</v>
      </c>
      <c r="S68" s="25">
        <f t="shared" si="11"/>
        <v>547.66800000000001</v>
      </c>
    </row>
    <row r="69" spans="1:19" ht="16" hidden="1" x14ac:dyDescent="0.2">
      <c r="A69" s="53">
        <v>45850</v>
      </c>
      <c r="B69" s="90">
        <v>195</v>
      </c>
      <c r="C69" s="58" t="s">
        <v>86</v>
      </c>
      <c r="D69" s="58" t="s">
        <v>2</v>
      </c>
      <c r="E69" s="63">
        <v>50</v>
      </c>
      <c r="F69" s="6"/>
      <c r="G69" s="6">
        <v>9</v>
      </c>
      <c r="H69" s="68" t="s">
        <v>60</v>
      </c>
      <c r="I69" s="78">
        <v>450</v>
      </c>
      <c r="J69" s="11" t="s">
        <v>87</v>
      </c>
      <c r="K69" s="6">
        <v>12.6</v>
      </c>
      <c r="L69" s="76">
        <v>14</v>
      </c>
      <c r="M69" s="12">
        <v>0</v>
      </c>
      <c r="N69" s="6"/>
      <c r="O69" s="6">
        <f t="shared" si="9"/>
        <v>11.34</v>
      </c>
      <c r="P69" s="6">
        <f t="shared" si="7"/>
        <v>7.9380000000000006</v>
      </c>
      <c r="Q69" s="6">
        <v>6.75</v>
      </c>
      <c r="R69" s="24">
        <f t="shared" ref="R69:R88" si="12">P69-Q69</f>
        <v>1.1880000000000006</v>
      </c>
      <c r="S69" s="25">
        <f t="shared" ref="S69:S88" si="13">E69*R69</f>
        <v>59.400000000000034</v>
      </c>
    </row>
    <row r="70" spans="1:19" ht="16" x14ac:dyDescent="0.2">
      <c r="A70" s="53">
        <v>45843</v>
      </c>
      <c r="B70" s="90">
        <v>183</v>
      </c>
      <c r="C70" s="58" t="s">
        <v>93</v>
      </c>
      <c r="D70" s="58" t="s">
        <v>8</v>
      </c>
      <c r="E70" s="63">
        <v>200</v>
      </c>
      <c r="F70" s="6"/>
      <c r="G70" s="26">
        <v>22.32</v>
      </c>
      <c r="H70" s="69" t="s">
        <v>237</v>
      </c>
      <c r="I70" s="64">
        <f>G70*E70</f>
        <v>4464</v>
      </c>
      <c r="J70" s="11" t="s">
        <v>87</v>
      </c>
      <c r="K70" s="21">
        <v>176.79</v>
      </c>
      <c r="L70" s="76">
        <v>196.43</v>
      </c>
      <c r="M70" s="12">
        <f t="shared" si="8"/>
        <v>1339.2</v>
      </c>
      <c r="N70" s="6"/>
      <c r="O70" s="6">
        <f t="shared" ref="O70:O88" si="14">K70-K70*10%</f>
        <v>159.11099999999999</v>
      </c>
      <c r="P70" s="6">
        <f t="shared" ref="P70:P88" si="15">O70-O70*30%</f>
        <v>111.3777</v>
      </c>
      <c r="Q70" s="22">
        <v>10.8</v>
      </c>
      <c r="R70" s="24">
        <f t="shared" si="12"/>
        <v>100.57770000000001</v>
      </c>
      <c r="S70" s="25">
        <f t="shared" si="13"/>
        <v>20115.54</v>
      </c>
    </row>
    <row r="71" spans="1:19" ht="16" x14ac:dyDescent="0.2">
      <c r="A71" s="53">
        <v>45843</v>
      </c>
      <c r="B71" s="90">
        <v>183</v>
      </c>
      <c r="C71" s="58" t="s">
        <v>93</v>
      </c>
      <c r="D71" s="58" t="s">
        <v>88</v>
      </c>
      <c r="E71" s="63">
        <v>200</v>
      </c>
      <c r="F71" s="6"/>
      <c r="G71" s="26">
        <v>8.83</v>
      </c>
      <c r="H71" s="69" t="s">
        <v>237</v>
      </c>
      <c r="I71" s="64">
        <f>G71*E71</f>
        <v>1766</v>
      </c>
      <c r="J71" s="11" t="s">
        <v>87</v>
      </c>
      <c r="K71" s="28">
        <v>57.86</v>
      </c>
      <c r="L71" s="83">
        <v>64.290000000000006</v>
      </c>
      <c r="M71" s="12">
        <f t="shared" si="8"/>
        <v>529.79999999999995</v>
      </c>
      <c r="N71" s="6"/>
      <c r="O71" s="6">
        <f t="shared" si="14"/>
        <v>52.073999999999998</v>
      </c>
      <c r="P71" s="6">
        <f t="shared" si="15"/>
        <v>36.451799999999999</v>
      </c>
      <c r="Q71" s="6">
        <v>5.9</v>
      </c>
      <c r="R71" s="24">
        <f t="shared" si="12"/>
        <v>30.5518</v>
      </c>
      <c r="S71" s="25">
        <f t="shared" si="13"/>
        <v>6110.36</v>
      </c>
    </row>
    <row r="72" spans="1:19" ht="16" x14ac:dyDescent="0.2">
      <c r="A72" s="53">
        <v>45843</v>
      </c>
      <c r="B72" s="90">
        <v>183</v>
      </c>
      <c r="C72" s="58" t="s">
        <v>93</v>
      </c>
      <c r="D72" s="58" t="s">
        <v>89</v>
      </c>
      <c r="E72" s="63">
        <v>10</v>
      </c>
      <c r="F72" s="6"/>
      <c r="G72" s="26">
        <v>83.35</v>
      </c>
      <c r="H72" s="70" t="s">
        <v>60</v>
      </c>
      <c r="I72" s="64">
        <f>G72*E72</f>
        <v>833.5</v>
      </c>
      <c r="J72" s="11" t="s">
        <v>87</v>
      </c>
      <c r="K72" s="26"/>
      <c r="L72" s="64"/>
      <c r="M72" s="12">
        <v>0</v>
      </c>
      <c r="N72" s="6"/>
      <c r="O72" s="6">
        <f t="shared" si="14"/>
        <v>0</v>
      </c>
      <c r="P72" s="6">
        <f t="shared" si="15"/>
        <v>0</v>
      </c>
      <c r="Q72" s="6"/>
      <c r="R72" s="24">
        <f t="shared" si="12"/>
        <v>0</v>
      </c>
      <c r="S72" s="25">
        <f t="shared" si="13"/>
        <v>0</v>
      </c>
    </row>
    <row r="73" spans="1:19" ht="16" hidden="1" x14ac:dyDescent="0.2">
      <c r="A73" s="53">
        <v>45850</v>
      </c>
      <c r="B73" s="90">
        <v>194</v>
      </c>
      <c r="C73" s="58" t="s">
        <v>92</v>
      </c>
      <c r="D73" s="58" t="s">
        <v>2</v>
      </c>
      <c r="E73" s="64">
        <v>100</v>
      </c>
      <c r="F73" s="6"/>
      <c r="G73" s="6">
        <v>11.4</v>
      </c>
      <c r="H73" s="68" t="s">
        <v>60</v>
      </c>
      <c r="I73" s="64">
        <f t="shared" ref="I73:I88" si="16">G73*E73</f>
        <v>1140</v>
      </c>
      <c r="J73" s="11" t="s">
        <v>87</v>
      </c>
      <c r="K73" s="6">
        <v>12.6</v>
      </c>
      <c r="L73" s="76">
        <v>14</v>
      </c>
      <c r="M73" s="12">
        <v>0</v>
      </c>
      <c r="N73" s="6"/>
      <c r="O73" s="6">
        <f t="shared" si="14"/>
        <v>11.34</v>
      </c>
      <c r="P73" s="6">
        <f t="shared" si="15"/>
        <v>7.9380000000000006</v>
      </c>
      <c r="Q73" s="6">
        <v>6.75</v>
      </c>
      <c r="R73" s="24">
        <f t="shared" si="12"/>
        <v>1.1880000000000006</v>
      </c>
      <c r="S73" s="25">
        <f t="shared" si="13"/>
        <v>118.80000000000007</v>
      </c>
    </row>
    <row r="74" spans="1:19" ht="16" hidden="1" x14ac:dyDescent="0.2">
      <c r="A74" s="53">
        <v>45842</v>
      </c>
      <c r="B74" s="90">
        <v>178</v>
      </c>
      <c r="C74" s="57" t="s">
        <v>20</v>
      </c>
      <c r="D74" s="58" t="s">
        <v>5</v>
      </c>
      <c r="E74" s="63">
        <v>5</v>
      </c>
      <c r="F74" s="6"/>
      <c r="G74" s="26">
        <v>56.43</v>
      </c>
      <c r="H74" s="68" t="s">
        <v>59</v>
      </c>
      <c r="I74" s="64">
        <f t="shared" si="16"/>
        <v>282.14999999999998</v>
      </c>
      <c r="J74" s="11" t="s">
        <v>87</v>
      </c>
      <c r="K74" s="19">
        <v>50.79</v>
      </c>
      <c r="L74" s="76">
        <v>56.43</v>
      </c>
      <c r="M74" s="12">
        <f t="shared" ref="M74:M75" si="17">I74*30%</f>
        <v>84.644999999999996</v>
      </c>
      <c r="N74" s="6"/>
      <c r="O74" s="6">
        <f t="shared" si="14"/>
        <v>45.710999999999999</v>
      </c>
      <c r="P74" s="6">
        <f t="shared" si="15"/>
        <v>31.997700000000002</v>
      </c>
      <c r="Q74" s="6">
        <v>23</v>
      </c>
      <c r="R74" s="24">
        <f t="shared" si="12"/>
        <v>8.9977000000000018</v>
      </c>
      <c r="S74" s="25">
        <f t="shared" si="13"/>
        <v>44.988500000000009</v>
      </c>
    </row>
    <row r="75" spans="1:19" ht="16" hidden="1" x14ac:dyDescent="0.2">
      <c r="A75" s="53">
        <v>45868</v>
      </c>
      <c r="B75" s="90">
        <v>228</v>
      </c>
      <c r="C75" s="57" t="s">
        <v>20</v>
      </c>
      <c r="D75" s="58" t="s">
        <v>5</v>
      </c>
      <c r="E75" s="63">
        <v>6</v>
      </c>
      <c r="F75" s="6"/>
      <c r="G75" s="26">
        <v>56.43</v>
      </c>
      <c r="H75" s="68" t="s">
        <v>59</v>
      </c>
      <c r="I75" s="64">
        <f t="shared" si="16"/>
        <v>338.58</v>
      </c>
      <c r="J75" s="11" t="s">
        <v>87</v>
      </c>
      <c r="K75" s="19">
        <v>50.79</v>
      </c>
      <c r="L75" s="76">
        <v>56.43</v>
      </c>
      <c r="M75" s="12">
        <f t="shared" si="17"/>
        <v>101.574</v>
      </c>
      <c r="N75" s="6"/>
      <c r="O75" s="6">
        <f t="shared" si="14"/>
        <v>45.710999999999999</v>
      </c>
      <c r="P75" s="6">
        <f t="shared" si="15"/>
        <v>31.997700000000002</v>
      </c>
      <c r="Q75" s="6">
        <v>23</v>
      </c>
      <c r="R75" s="24">
        <f t="shared" si="12"/>
        <v>8.9977000000000018</v>
      </c>
      <c r="S75" s="25">
        <f t="shared" si="13"/>
        <v>53.986200000000011</v>
      </c>
    </row>
    <row r="76" spans="1:19" ht="16" hidden="1" x14ac:dyDescent="0.2">
      <c r="A76" s="53">
        <v>45858</v>
      </c>
      <c r="B76" s="90">
        <v>210</v>
      </c>
      <c r="C76" s="57" t="s">
        <v>20</v>
      </c>
      <c r="D76" s="58" t="s">
        <v>2</v>
      </c>
      <c r="E76" s="63">
        <v>30</v>
      </c>
      <c r="F76" s="6"/>
      <c r="G76" s="26">
        <v>14</v>
      </c>
      <c r="H76" s="68" t="s">
        <v>60</v>
      </c>
      <c r="I76" s="64">
        <f t="shared" si="16"/>
        <v>420</v>
      </c>
      <c r="J76" s="11" t="s">
        <v>87</v>
      </c>
      <c r="K76" s="6">
        <v>12.6</v>
      </c>
      <c r="L76" s="76">
        <v>14</v>
      </c>
      <c r="M76" s="12">
        <v>0</v>
      </c>
      <c r="N76" s="6"/>
      <c r="O76" s="6">
        <f t="shared" si="14"/>
        <v>11.34</v>
      </c>
      <c r="P76" s="6">
        <f t="shared" si="15"/>
        <v>7.9380000000000006</v>
      </c>
      <c r="Q76" s="6">
        <v>6.75</v>
      </c>
      <c r="R76" s="24">
        <f t="shared" si="12"/>
        <v>1.1880000000000006</v>
      </c>
      <c r="S76" s="25">
        <f t="shared" si="13"/>
        <v>35.640000000000015</v>
      </c>
    </row>
    <row r="77" spans="1:19" ht="16" hidden="1" x14ac:dyDescent="0.2">
      <c r="A77" s="53">
        <v>45851</v>
      </c>
      <c r="B77" s="90">
        <v>196</v>
      </c>
      <c r="C77" s="57" t="s">
        <v>20</v>
      </c>
      <c r="D77" s="58" t="s">
        <v>2</v>
      </c>
      <c r="E77" s="63">
        <v>30</v>
      </c>
      <c r="F77" s="6"/>
      <c r="G77" s="26">
        <v>14</v>
      </c>
      <c r="H77" s="68" t="s">
        <v>60</v>
      </c>
      <c r="I77" s="64">
        <f t="shared" si="16"/>
        <v>420</v>
      </c>
      <c r="J77" s="11" t="s">
        <v>87</v>
      </c>
      <c r="K77" s="6">
        <v>12.6</v>
      </c>
      <c r="L77" s="76">
        <v>14</v>
      </c>
      <c r="M77" s="12">
        <v>0</v>
      </c>
      <c r="N77" s="6"/>
      <c r="O77" s="6">
        <f t="shared" si="14"/>
        <v>11.34</v>
      </c>
      <c r="P77" s="6">
        <f t="shared" si="15"/>
        <v>7.9380000000000006</v>
      </c>
      <c r="Q77" s="6">
        <v>6.75</v>
      </c>
      <c r="R77" s="24">
        <f t="shared" si="12"/>
        <v>1.1880000000000006</v>
      </c>
      <c r="S77" s="25">
        <f t="shared" si="13"/>
        <v>35.640000000000015</v>
      </c>
    </row>
    <row r="78" spans="1:19" ht="16" hidden="1" x14ac:dyDescent="0.2">
      <c r="A78" s="53">
        <v>45865</v>
      </c>
      <c r="B78" s="90">
        <v>223</v>
      </c>
      <c r="C78" s="57" t="s">
        <v>20</v>
      </c>
      <c r="D78" s="58" t="s">
        <v>2</v>
      </c>
      <c r="E78" s="63">
        <v>30</v>
      </c>
      <c r="F78" s="6"/>
      <c r="G78" s="26">
        <v>14</v>
      </c>
      <c r="H78" s="68" t="s">
        <v>60</v>
      </c>
      <c r="I78" s="64">
        <f t="shared" si="16"/>
        <v>420</v>
      </c>
      <c r="J78" s="11" t="s">
        <v>87</v>
      </c>
      <c r="K78" s="6">
        <v>12.6</v>
      </c>
      <c r="L78" s="76">
        <v>14</v>
      </c>
      <c r="M78" s="12">
        <v>0</v>
      </c>
      <c r="N78" s="6"/>
      <c r="O78" s="6">
        <f t="shared" si="14"/>
        <v>11.34</v>
      </c>
      <c r="P78" s="6">
        <f t="shared" si="15"/>
        <v>7.9380000000000006</v>
      </c>
      <c r="Q78" s="6">
        <v>6.75</v>
      </c>
      <c r="R78" s="24">
        <f t="shared" si="12"/>
        <v>1.1880000000000006</v>
      </c>
      <c r="S78" s="25">
        <f t="shared" si="13"/>
        <v>35.640000000000015</v>
      </c>
    </row>
    <row r="79" spans="1:19" ht="16" x14ac:dyDescent="0.2">
      <c r="A79" s="53">
        <v>45840</v>
      </c>
      <c r="B79" s="90">
        <v>176</v>
      </c>
      <c r="C79" s="57" t="s">
        <v>20</v>
      </c>
      <c r="D79" s="58" t="s">
        <v>2</v>
      </c>
      <c r="E79" s="63">
        <v>30</v>
      </c>
      <c r="F79" s="6"/>
      <c r="G79" s="26">
        <v>14</v>
      </c>
      <c r="H79" s="68" t="s">
        <v>60</v>
      </c>
      <c r="I79" s="64">
        <f t="shared" si="16"/>
        <v>420</v>
      </c>
      <c r="J79" s="11" t="s">
        <v>87</v>
      </c>
      <c r="K79" s="6">
        <v>12.6</v>
      </c>
      <c r="L79" s="76">
        <v>14</v>
      </c>
      <c r="M79" s="12">
        <v>0</v>
      </c>
      <c r="N79" s="6"/>
      <c r="O79" s="6">
        <f t="shared" si="14"/>
        <v>11.34</v>
      </c>
      <c r="P79" s="6">
        <f t="shared" si="15"/>
        <v>7.9380000000000006</v>
      </c>
      <c r="Q79" s="6">
        <v>6.75</v>
      </c>
      <c r="R79" s="24">
        <f t="shared" si="12"/>
        <v>1.1880000000000006</v>
      </c>
      <c r="S79" s="25">
        <f t="shared" si="13"/>
        <v>35.640000000000015</v>
      </c>
    </row>
    <row r="80" spans="1:19" ht="16" hidden="1" x14ac:dyDescent="0.2">
      <c r="A80" s="53">
        <v>45853</v>
      </c>
      <c r="B80" s="90">
        <v>199</v>
      </c>
      <c r="C80" s="57" t="s">
        <v>20</v>
      </c>
      <c r="D80" s="58" t="s">
        <v>2</v>
      </c>
      <c r="E80" s="63">
        <v>40</v>
      </c>
      <c r="F80" s="14"/>
      <c r="G80" s="26">
        <v>14</v>
      </c>
      <c r="H80" s="68" t="s">
        <v>60</v>
      </c>
      <c r="I80" s="64">
        <f t="shared" si="16"/>
        <v>560</v>
      </c>
      <c r="J80" s="11" t="s">
        <v>87</v>
      </c>
      <c r="K80" s="6">
        <v>12.6</v>
      </c>
      <c r="L80" s="76">
        <v>14</v>
      </c>
      <c r="M80" s="12">
        <v>0</v>
      </c>
      <c r="N80" s="6"/>
      <c r="O80" s="6">
        <f t="shared" si="14"/>
        <v>11.34</v>
      </c>
      <c r="P80" s="6">
        <f t="shared" si="15"/>
        <v>7.9380000000000006</v>
      </c>
      <c r="Q80" s="6">
        <v>6.75</v>
      </c>
      <c r="R80" s="24">
        <f t="shared" si="12"/>
        <v>1.1880000000000006</v>
      </c>
      <c r="S80" s="25">
        <f t="shared" si="13"/>
        <v>47.520000000000024</v>
      </c>
    </row>
    <row r="81" spans="1:19" ht="16" hidden="1" x14ac:dyDescent="0.2">
      <c r="A81" s="53">
        <v>45860</v>
      </c>
      <c r="B81" s="90">
        <v>214</v>
      </c>
      <c r="C81" s="57" t="s">
        <v>20</v>
      </c>
      <c r="D81" s="58" t="s">
        <v>2</v>
      </c>
      <c r="E81" s="63">
        <v>30</v>
      </c>
      <c r="F81" s="6"/>
      <c r="G81" s="26">
        <v>14</v>
      </c>
      <c r="H81" s="68" t="s">
        <v>60</v>
      </c>
      <c r="I81" s="64">
        <f t="shared" si="16"/>
        <v>420</v>
      </c>
      <c r="J81" s="11" t="s">
        <v>87</v>
      </c>
      <c r="K81" s="6">
        <v>12.6</v>
      </c>
      <c r="L81" s="76">
        <v>14</v>
      </c>
      <c r="M81" s="12">
        <v>0</v>
      </c>
      <c r="N81" s="6"/>
      <c r="O81" s="6">
        <f t="shared" si="14"/>
        <v>11.34</v>
      </c>
      <c r="P81" s="6">
        <f t="shared" si="15"/>
        <v>7.9380000000000006</v>
      </c>
      <c r="Q81" s="6">
        <v>6.75</v>
      </c>
      <c r="R81" s="24">
        <f t="shared" si="12"/>
        <v>1.1880000000000006</v>
      </c>
      <c r="S81" s="25">
        <f t="shared" si="13"/>
        <v>35.640000000000015</v>
      </c>
    </row>
    <row r="82" spans="1:19" ht="16" hidden="1" x14ac:dyDescent="0.2">
      <c r="A82" s="53">
        <v>45863</v>
      </c>
      <c r="B82" s="90">
        <v>221</v>
      </c>
      <c r="C82" s="57" t="s">
        <v>20</v>
      </c>
      <c r="D82" s="58" t="s">
        <v>2</v>
      </c>
      <c r="E82" s="63">
        <v>30</v>
      </c>
      <c r="F82" s="6"/>
      <c r="G82" s="26">
        <v>14</v>
      </c>
      <c r="H82" s="68" t="s">
        <v>60</v>
      </c>
      <c r="I82" s="64">
        <f t="shared" si="16"/>
        <v>420</v>
      </c>
      <c r="J82" s="11" t="s">
        <v>87</v>
      </c>
      <c r="K82" s="6">
        <v>12.6</v>
      </c>
      <c r="L82" s="76">
        <v>14</v>
      </c>
      <c r="M82" s="12">
        <v>0</v>
      </c>
      <c r="N82" s="6"/>
      <c r="O82" s="6">
        <f t="shared" si="14"/>
        <v>11.34</v>
      </c>
      <c r="P82" s="6">
        <f t="shared" si="15"/>
        <v>7.9380000000000006</v>
      </c>
      <c r="Q82" s="6">
        <v>6.75</v>
      </c>
      <c r="R82" s="24">
        <f t="shared" si="12"/>
        <v>1.1880000000000006</v>
      </c>
      <c r="S82" s="25">
        <f t="shared" si="13"/>
        <v>35.640000000000015</v>
      </c>
    </row>
    <row r="83" spans="1:19" ht="16" hidden="1" x14ac:dyDescent="0.2">
      <c r="A83" s="53">
        <v>45842</v>
      </c>
      <c r="B83" s="90">
        <v>178</v>
      </c>
      <c r="C83" s="57" t="s">
        <v>20</v>
      </c>
      <c r="D83" s="58" t="s">
        <v>2</v>
      </c>
      <c r="E83" s="63">
        <v>30</v>
      </c>
      <c r="F83" s="6"/>
      <c r="G83" s="26">
        <v>14</v>
      </c>
      <c r="H83" s="68" t="s">
        <v>60</v>
      </c>
      <c r="I83" s="64">
        <f t="shared" si="16"/>
        <v>420</v>
      </c>
      <c r="J83" s="11" t="s">
        <v>87</v>
      </c>
      <c r="K83" s="6">
        <v>12.6</v>
      </c>
      <c r="L83" s="76">
        <v>14</v>
      </c>
      <c r="M83" s="12">
        <v>0</v>
      </c>
      <c r="N83" s="6"/>
      <c r="O83" s="6">
        <f t="shared" si="14"/>
        <v>11.34</v>
      </c>
      <c r="P83" s="6">
        <f t="shared" si="15"/>
        <v>7.9380000000000006</v>
      </c>
      <c r="Q83" s="6">
        <v>6.75</v>
      </c>
      <c r="R83" s="24">
        <f t="shared" si="12"/>
        <v>1.1880000000000006</v>
      </c>
      <c r="S83" s="25">
        <f t="shared" si="13"/>
        <v>35.640000000000015</v>
      </c>
    </row>
    <row r="84" spans="1:19" ht="16" hidden="1" x14ac:dyDescent="0.2">
      <c r="A84" s="53">
        <v>45846</v>
      </c>
      <c r="B84" s="90">
        <v>187</v>
      </c>
      <c r="C84" s="57" t="s">
        <v>20</v>
      </c>
      <c r="D84" s="58" t="s">
        <v>2</v>
      </c>
      <c r="E84" s="63">
        <v>30</v>
      </c>
      <c r="F84" s="6"/>
      <c r="G84" s="26">
        <v>14</v>
      </c>
      <c r="H84" s="68" t="s">
        <v>60</v>
      </c>
      <c r="I84" s="64">
        <f t="shared" si="16"/>
        <v>420</v>
      </c>
      <c r="J84" s="11" t="s">
        <v>87</v>
      </c>
      <c r="K84" s="6">
        <v>12.6</v>
      </c>
      <c r="L84" s="76">
        <v>14</v>
      </c>
      <c r="M84" s="12">
        <v>0</v>
      </c>
      <c r="N84" s="6"/>
      <c r="O84" s="6">
        <f t="shared" si="14"/>
        <v>11.34</v>
      </c>
      <c r="P84" s="6">
        <f t="shared" si="15"/>
        <v>7.9380000000000006</v>
      </c>
      <c r="Q84" s="6">
        <v>6.75</v>
      </c>
      <c r="R84" s="24">
        <f t="shared" si="12"/>
        <v>1.1880000000000006</v>
      </c>
      <c r="S84" s="25">
        <f t="shared" si="13"/>
        <v>35.640000000000015</v>
      </c>
    </row>
    <row r="85" spans="1:19" ht="16" hidden="1" x14ac:dyDescent="0.2">
      <c r="A85" s="53">
        <v>45867</v>
      </c>
      <c r="B85" s="90">
        <v>227</v>
      </c>
      <c r="C85" s="57" t="s">
        <v>20</v>
      </c>
      <c r="D85" s="58" t="s">
        <v>2</v>
      </c>
      <c r="E85" s="63">
        <v>30</v>
      </c>
      <c r="F85" s="6"/>
      <c r="G85" s="26">
        <v>14</v>
      </c>
      <c r="H85" s="68" t="s">
        <v>60</v>
      </c>
      <c r="I85" s="64">
        <f t="shared" si="16"/>
        <v>420</v>
      </c>
      <c r="J85" s="11" t="s">
        <v>87</v>
      </c>
      <c r="K85" s="6">
        <v>12.6</v>
      </c>
      <c r="L85" s="76">
        <v>14</v>
      </c>
      <c r="M85" s="12">
        <v>0</v>
      </c>
      <c r="N85" s="6"/>
      <c r="O85" s="6">
        <f t="shared" si="14"/>
        <v>11.34</v>
      </c>
      <c r="P85" s="6">
        <f t="shared" si="15"/>
        <v>7.9380000000000006</v>
      </c>
      <c r="Q85" s="6">
        <v>6.75</v>
      </c>
      <c r="R85" s="24">
        <f t="shared" si="12"/>
        <v>1.1880000000000006</v>
      </c>
      <c r="S85" s="25">
        <f t="shared" si="13"/>
        <v>35.640000000000015</v>
      </c>
    </row>
    <row r="86" spans="1:19" ht="16" hidden="1" x14ac:dyDescent="0.2">
      <c r="A86" s="53">
        <v>45857</v>
      </c>
      <c r="B86" s="90">
        <v>209</v>
      </c>
      <c r="C86" s="57" t="s">
        <v>20</v>
      </c>
      <c r="D86" s="58" t="s">
        <v>3</v>
      </c>
      <c r="E86" s="63">
        <v>6</v>
      </c>
      <c r="F86" s="6"/>
      <c r="G86" s="26">
        <v>155.71</v>
      </c>
      <c r="H86" s="68" t="s">
        <v>59</v>
      </c>
      <c r="I86" s="64">
        <f t="shared" si="16"/>
        <v>934.26</v>
      </c>
      <c r="J86" s="11" t="s">
        <v>87</v>
      </c>
      <c r="K86" s="19">
        <v>140.13999999999999</v>
      </c>
      <c r="L86" s="76">
        <v>155.71</v>
      </c>
      <c r="M86" s="12">
        <f t="shared" ref="M86:M88" si="18">I86*30%</f>
        <v>280.27799999999996</v>
      </c>
      <c r="N86" s="6"/>
      <c r="O86" s="6">
        <f t="shared" si="14"/>
        <v>126.12599999999999</v>
      </c>
      <c r="P86" s="6">
        <f t="shared" si="15"/>
        <v>88.288199999999989</v>
      </c>
      <c r="Q86" s="6">
        <v>9</v>
      </c>
      <c r="R86" s="24">
        <f t="shared" si="12"/>
        <v>79.288199999999989</v>
      </c>
      <c r="S86" s="25">
        <f t="shared" si="13"/>
        <v>475.72919999999993</v>
      </c>
    </row>
    <row r="87" spans="1:19" ht="16" hidden="1" x14ac:dyDescent="0.2">
      <c r="A87" s="53">
        <v>45868</v>
      </c>
      <c r="B87" s="90">
        <v>228</v>
      </c>
      <c r="C87" s="57" t="s">
        <v>20</v>
      </c>
      <c r="D87" s="58" t="s">
        <v>3</v>
      </c>
      <c r="E87" s="63">
        <v>6</v>
      </c>
      <c r="F87" s="6"/>
      <c r="G87" s="26">
        <v>155.71</v>
      </c>
      <c r="H87" s="68" t="s">
        <v>59</v>
      </c>
      <c r="I87" s="64">
        <f t="shared" si="16"/>
        <v>934.26</v>
      </c>
      <c r="J87" s="11" t="s">
        <v>87</v>
      </c>
      <c r="K87" s="19">
        <v>140.13999999999999</v>
      </c>
      <c r="L87" s="76">
        <v>155.71</v>
      </c>
      <c r="M87" s="12">
        <f t="shared" si="18"/>
        <v>280.27799999999996</v>
      </c>
      <c r="N87" s="6"/>
      <c r="O87" s="6">
        <f t="shared" si="14"/>
        <v>126.12599999999999</v>
      </c>
      <c r="P87" s="6">
        <f t="shared" si="15"/>
        <v>88.288199999999989</v>
      </c>
      <c r="Q87" s="6">
        <v>9</v>
      </c>
      <c r="R87" s="24">
        <f t="shared" si="12"/>
        <v>79.288199999999989</v>
      </c>
      <c r="S87" s="25">
        <f t="shared" si="13"/>
        <v>475.72919999999993</v>
      </c>
    </row>
    <row r="88" spans="1:19" ht="16" hidden="1" x14ac:dyDescent="0.2">
      <c r="A88" s="53">
        <v>45846</v>
      </c>
      <c r="B88" s="90">
        <v>187</v>
      </c>
      <c r="C88" s="57" t="s">
        <v>20</v>
      </c>
      <c r="D88" s="58" t="s">
        <v>3</v>
      </c>
      <c r="E88" s="63">
        <v>6</v>
      </c>
      <c r="F88" s="6"/>
      <c r="G88" s="26">
        <v>155.71</v>
      </c>
      <c r="H88" s="68" t="s">
        <v>59</v>
      </c>
      <c r="I88" s="64">
        <f t="shared" si="16"/>
        <v>934.26</v>
      </c>
      <c r="J88" s="11" t="s">
        <v>87</v>
      </c>
      <c r="K88" s="19">
        <v>140.13999999999999</v>
      </c>
      <c r="L88" s="76">
        <v>155.71</v>
      </c>
      <c r="M88" s="12">
        <f t="shared" si="18"/>
        <v>280.27799999999996</v>
      </c>
      <c r="N88" s="6"/>
      <c r="O88" s="6">
        <f t="shared" si="14"/>
        <v>126.12599999999999</v>
      </c>
      <c r="P88" s="6">
        <f t="shared" si="15"/>
        <v>88.288199999999989</v>
      </c>
      <c r="Q88" s="6">
        <v>9</v>
      </c>
      <c r="R88" s="24">
        <f t="shared" si="12"/>
        <v>79.288199999999989</v>
      </c>
      <c r="S88" s="25">
        <f t="shared" si="13"/>
        <v>475.72919999999993</v>
      </c>
    </row>
    <row r="89" spans="1:19" ht="16" hidden="1" x14ac:dyDescent="0.2">
      <c r="A89" s="54">
        <v>45862</v>
      </c>
      <c r="B89" s="91">
        <v>5448</v>
      </c>
      <c r="C89" s="59" t="s">
        <v>95</v>
      </c>
      <c r="D89" s="59" t="s">
        <v>94</v>
      </c>
      <c r="E89" s="65">
        <v>5</v>
      </c>
      <c r="F89" s="33">
        <v>1</v>
      </c>
      <c r="G89" s="34">
        <v>146.31</v>
      </c>
      <c r="H89" s="69" t="s">
        <v>126</v>
      </c>
      <c r="I89" s="79">
        <v>731.55</v>
      </c>
      <c r="J89" s="11" t="s">
        <v>87</v>
      </c>
      <c r="K89" s="27">
        <v>131.68</v>
      </c>
      <c r="L89" s="84">
        <v>146.31</v>
      </c>
      <c r="M89" s="13">
        <f>I89*30%</f>
        <v>219.46499999999997</v>
      </c>
      <c r="Q89" s="6">
        <v>47.5</v>
      </c>
    </row>
    <row r="90" spans="1:19" ht="16" hidden="1" x14ac:dyDescent="0.2">
      <c r="A90" s="54">
        <v>45862</v>
      </c>
      <c r="B90" s="91">
        <v>5448</v>
      </c>
      <c r="C90" s="59" t="s">
        <v>95</v>
      </c>
      <c r="D90" s="59" t="s">
        <v>12</v>
      </c>
      <c r="E90" s="65">
        <v>5</v>
      </c>
      <c r="F90" s="33">
        <v>1</v>
      </c>
      <c r="G90" s="34">
        <v>102.14</v>
      </c>
      <c r="H90" s="69" t="s">
        <v>126</v>
      </c>
      <c r="I90" s="79">
        <v>510.7</v>
      </c>
      <c r="J90" s="11" t="s">
        <v>87</v>
      </c>
      <c r="K90" s="19">
        <v>92.86</v>
      </c>
      <c r="L90" s="76">
        <v>102.14</v>
      </c>
      <c r="M90" s="13">
        <f t="shared" ref="M90:M91" si="19">I90*30%</f>
        <v>153.20999999999998</v>
      </c>
      <c r="Q90" s="6">
        <v>6.8</v>
      </c>
    </row>
    <row r="91" spans="1:19" ht="16" hidden="1" x14ac:dyDescent="0.2">
      <c r="A91" s="54">
        <v>45852</v>
      </c>
      <c r="B91" s="91">
        <v>4880</v>
      </c>
      <c r="C91" s="59" t="s">
        <v>96</v>
      </c>
      <c r="D91" s="59" t="s">
        <v>7</v>
      </c>
      <c r="E91" s="65">
        <v>5</v>
      </c>
      <c r="F91" s="33">
        <v>1</v>
      </c>
      <c r="G91" s="34">
        <v>171.43</v>
      </c>
      <c r="H91" s="69" t="s">
        <v>127</v>
      </c>
      <c r="I91" s="79">
        <v>857.15</v>
      </c>
      <c r="J91" s="11" t="s">
        <v>87</v>
      </c>
      <c r="K91" s="19">
        <v>154.29</v>
      </c>
      <c r="L91" s="76">
        <v>171.43</v>
      </c>
      <c r="M91" s="13">
        <f t="shared" si="19"/>
        <v>257.14499999999998</v>
      </c>
      <c r="Q91" s="6">
        <v>17</v>
      </c>
    </row>
    <row r="92" spans="1:19" ht="16" hidden="1" x14ac:dyDescent="0.2">
      <c r="A92" s="54">
        <v>45866</v>
      </c>
      <c r="B92" s="91">
        <v>5721</v>
      </c>
      <c r="C92" s="59" t="s">
        <v>97</v>
      </c>
      <c r="D92" s="59" t="s">
        <v>98</v>
      </c>
      <c r="E92" s="65">
        <v>10</v>
      </c>
      <c r="F92" s="33">
        <v>2</v>
      </c>
      <c r="G92" s="34">
        <v>150</v>
      </c>
      <c r="H92" s="69" t="s">
        <v>128</v>
      </c>
      <c r="I92" s="80">
        <v>1500</v>
      </c>
      <c r="J92" s="11" t="s">
        <v>87</v>
      </c>
      <c r="K92" s="27">
        <v>135</v>
      </c>
      <c r="L92" s="85">
        <v>150</v>
      </c>
      <c r="M92" s="13">
        <f>I92*30%</f>
        <v>450</v>
      </c>
      <c r="Q92" s="30">
        <v>20</v>
      </c>
    </row>
    <row r="93" spans="1:19" ht="16" hidden="1" x14ac:dyDescent="0.2">
      <c r="A93" s="54">
        <v>45862</v>
      </c>
      <c r="B93" s="91">
        <v>5459</v>
      </c>
      <c r="C93" s="59" t="s">
        <v>99</v>
      </c>
      <c r="D93" s="59" t="s">
        <v>94</v>
      </c>
      <c r="E93" s="65">
        <v>10</v>
      </c>
      <c r="F93" s="33">
        <v>2</v>
      </c>
      <c r="G93" s="34">
        <v>146.31</v>
      </c>
      <c r="H93" s="71" t="s">
        <v>129</v>
      </c>
      <c r="I93" s="80">
        <v>1463.1</v>
      </c>
      <c r="J93" s="11" t="s">
        <v>87</v>
      </c>
      <c r="K93" s="27">
        <v>131.68</v>
      </c>
      <c r="L93" s="84">
        <v>146.31</v>
      </c>
      <c r="M93" s="13">
        <f>I93*30%</f>
        <v>438.92999999999995</v>
      </c>
      <c r="Q93" s="6">
        <v>47.5</v>
      </c>
    </row>
    <row r="94" spans="1:19" ht="16" hidden="1" x14ac:dyDescent="0.2">
      <c r="A94" s="54">
        <v>45862</v>
      </c>
      <c r="B94" s="91">
        <v>5459</v>
      </c>
      <c r="C94" s="59" t="s">
        <v>99</v>
      </c>
      <c r="D94" s="59" t="s">
        <v>12</v>
      </c>
      <c r="E94" s="65">
        <v>10</v>
      </c>
      <c r="F94" s="33">
        <v>2</v>
      </c>
      <c r="G94" s="34">
        <v>102.14</v>
      </c>
      <c r="H94" s="71" t="s">
        <v>129</v>
      </c>
      <c r="I94" s="80">
        <v>1021.4</v>
      </c>
      <c r="J94" s="11" t="s">
        <v>87</v>
      </c>
      <c r="K94" s="19">
        <v>92.86</v>
      </c>
      <c r="L94" s="76">
        <v>102.14</v>
      </c>
      <c r="M94" s="13">
        <f t="shared" ref="M94:M138" si="20">I94*30%</f>
        <v>306.41999999999996</v>
      </c>
      <c r="Q94" s="6">
        <v>6.8</v>
      </c>
    </row>
    <row r="95" spans="1:19" ht="16" hidden="1" x14ac:dyDescent="0.2">
      <c r="A95" s="54">
        <v>45869</v>
      </c>
      <c r="B95" s="91">
        <v>5897</v>
      </c>
      <c r="C95" s="59" t="s">
        <v>100</v>
      </c>
      <c r="D95" s="59" t="s">
        <v>101</v>
      </c>
      <c r="E95" s="65">
        <v>5</v>
      </c>
      <c r="F95" s="33">
        <v>1</v>
      </c>
      <c r="G95" s="34">
        <v>142.86000000000001</v>
      </c>
      <c r="H95" s="69" t="s">
        <v>130</v>
      </c>
      <c r="I95" s="79">
        <v>714.3</v>
      </c>
      <c r="J95" s="11" t="s">
        <v>87</v>
      </c>
      <c r="K95" s="29">
        <v>128.57142857142901</v>
      </c>
      <c r="L95" s="84">
        <v>142.86000000000001</v>
      </c>
      <c r="M95" s="13">
        <f t="shared" si="20"/>
        <v>214.29</v>
      </c>
      <c r="Q95">
        <v>26.5</v>
      </c>
    </row>
    <row r="96" spans="1:19" hidden="1" x14ac:dyDescent="0.2">
      <c r="A96" s="54">
        <v>45845</v>
      </c>
      <c r="B96" s="91">
        <v>4482</v>
      </c>
      <c r="C96" s="59" t="s">
        <v>102</v>
      </c>
      <c r="D96" s="59" t="s">
        <v>2</v>
      </c>
      <c r="E96" s="65">
        <v>6</v>
      </c>
      <c r="F96" s="33">
        <v>0</v>
      </c>
      <c r="G96" s="34">
        <v>15.12</v>
      </c>
      <c r="H96" s="68" t="s">
        <v>60</v>
      </c>
      <c r="I96" s="79">
        <v>90.72</v>
      </c>
      <c r="J96" s="11" t="s">
        <v>87</v>
      </c>
      <c r="K96" s="6">
        <v>12.6</v>
      </c>
      <c r="L96" s="76">
        <v>14</v>
      </c>
      <c r="M96" s="12">
        <v>0</v>
      </c>
      <c r="Q96" s="6">
        <v>6.75</v>
      </c>
    </row>
    <row r="97" spans="1:17" ht="16" hidden="1" x14ac:dyDescent="0.2">
      <c r="A97" s="54">
        <v>45848</v>
      </c>
      <c r="B97" s="91">
        <v>4604</v>
      </c>
      <c r="C97" s="59" t="s">
        <v>103</v>
      </c>
      <c r="D97" s="59" t="s">
        <v>7</v>
      </c>
      <c r="E97" s="65">
        <v>10</v>
      </c>
      <c r="F97" s="33">
        <v>2</v>
      </c>
      <c r="G97" s="34">
        <v>171.43</v>
      </c>
      <c r="H97" s="69" t="s">
        <v>131</v>
      </c>
      <c r="I97" s="80">
        <v>1714.3</v>
      </c>
      <c r="J97" s="11" t="s">
        <v>87</v>
      </c>
      <c r="K97" s="19">
        <v>154.29</v>
      </c>
      <c r="L97" s="76">
        <v>171.43</v>
      </c>
      <c r="M97" s="13">
        <f t="shared" si="20"/>
        <v>514.29</v>
      </c>
      <c r="Q97" s="6">
        <v>17</v>
      </c>
    </row>
    <row r="98" spans="1:17" ht="16" hidden="1" x14ac:dyDescent="0.2">
      <c r="A98" s="54">
        <v>45848</v>
      </c>
      <c r="B98" s="91">
        <v>4604</v>
      </c>
      <c r="C98" s="59" t="s">
        <v>103</v>
      </c>
      <c r="D98" s="59" t="s">
        <v>94</v>
      </c>
      <c r="E98" s="65">
        <v>10</v>
      </c>
      <c r="F98" s="33">
        <v>2</v>
      </c>
      <c r="G98" s="34">
        <v>146.31</v>
      </c>
      <c r="H98" s="69" t="s">
        <v>131</v>
      </c>
      <c r="I98" s="80">
        <v>1463.1</v>
      </c>
      <c r="J98" s="11" t="s">
        <v>87</v>
      </c>
      <c r="K98" s="27">
        <v>131.68</v>
      </c>
      <c r="L98" s="84">
        <v>146.31</v>
      </c>
      <c r="M98" s="13">
        <f t="shared" si="20"/>
        <v>438.92999999999995</v>
      </c>
      <c r="Q98" s="6">
        <v>47.5</v>
      </c>
    </row>
    <row r="99" spans="1:17" ht="16" hidden="1" x14ac:dyDescent="0.2">
      <c r="A99" s="54">
        <v>45862</v>
      </c>
      <c r="B99" s="91">
        <v>5447</v>
      </c>
      <c r="C99" s="59" t="s">
        <v>104</v>
      </c>
      <c r="D99" s="59" t="s">
        <v>7</v>
      </c>
      <c r="E99" s="65">
        <v>5</v>
      </c>
      <c r="F99" s="33">
        <v>1</v>
      </c>
      <c r="G99" s="34">
        <v>171.43</v>
      </c>
      <c r="H99" s="72" t="s">
        <v>106</v>
      </c>
      <c r="I99" s="79">
        <v>857.15</v>
      </c>
      <c r="J99" s="11" t="s">
        <v>87</v>
      </c>
      <c r="K99" s="19">
        <v>154.29</v>
      </c>
      <c r="L99" s="76">
        <v>171.43</v>
      </c>
      <c r="M99" s="13">
        <f t="shared" si="20"/>
        <v>257.14499999999998</v>
      </c>
      <c r="Q99" s="6">
        <v>17</v>
      </c>
    </row>
    <row r="100" spans="1:17" ht="16" hidden="1" x14ac:dyDescent="0.2">
      <c r="A100" s="54">
        <v>45862</v>
      </c>
      <c r="B100" s="91">
        <v>5447</v>
      </c>
      <c r="C100" s="59" t="s">
        <v>104</v>
      </c>
      <c r="D100" s="59" t="s">
        <v>94</v>
      </c>
      <c r="E100" s="65">
        <v>5</v>
      </c>
      <c r="F100" s="33">
        <v>1</v>
      </c>
      <c r="G100" s="34">
        <v>146.31</v>
      </c>
      <c r="H100" s="72" t="s">
        <v>106</v>
      </c>
      <c r="I100" s="79">
        <v>731.55</v>
      </c>
      <c r="J100" s="11" t="s">
        <v>87</v>
      </c>
      <c r="K100" s="27">
        <v>131.68</v>
      </c>
      <c r="L100" s="84">
        <v>146.31</v>
      </c>
      <c r="M100" s="13">
        <f t="shared" si="20"/>
        <v>219.46499999999997</v>
      </c>
      <c r="Q100" s="6">
        <v>47.5</v>
      </c>
    </row>
    <row r="101" spans="1:17" ht="16" hidden="1" x14ac:dyDescent="0.2">
      <c r="A101" s="54">
        <v>45863</v>
      </c>
      <c r="B101" s="91">
        <v>5511</v>
      </c>
      <c r="C101" s="59" t="s">
        <v>104</v>
      </c>
      <c r="D101" s="59" t="s">
        <v>8</v>
      </c>
      <c r="E101" s="65">
        <v>5</v>
      </c>
      <c r="F101" s="33">
        <v>1</v>
      </c>
      <c r="G101" s="34">
        <v>196.43</v>
      </c>
      <c r="H101" s="72" t="s">
        <v>106</v>
      </c>
      <c r="I101" s="79">
        <v>982.15</v>
      </c>
      <c r="J101" s="11" t="s">
        <v>87</v>
      </c>
      <c r="K101" s="21">
        <v>176.79</v>
      </c>
      <c r="L101" s="76">
        <v>196.43</v>
      </c>
      <c r="M101" s="13">
        <f t="shared" si="20"/>
        <v>294.64499999999998</v>
      </c>
      <c r="Q101" s="22">
        <v>10.8</v>
      </c>
    </row>
    <row r="102" spans="1:17" ht="16" hidden="1" x14ac:dyDescent="0.2">
      <c r="A102" s="54">
        <v>45863</v>
      </c>
      <c r="B102" s="91">
        <v>5511</v>
      </c>
      <c r="C102" s="59" t="s">
        <v>104</v>
      </c>
      <c r="D102" s="59" t="s">
        <v>105</v>
      </c>
      <c r="E102" s="65">
        <v>5</v>
      </c>
      <c r="F102" s="33">
        <v>1</v>
      </c>
      <c r="G102" s="34">
        <v>192.86</v>
      </c>
      <c r="H102" s="72" t="s">
        <v>106</v>
      </c>
      <c r="I102" s="79">
        <v>964.3</v>
      </c>
      <c r="J102" s="11" t="s">
        <v>87</v>
      </c>
      <c r="K102" s="27">
        <v>173.57</v>
      </c>
      <c r="L102" s="84">
        <v>192.86</v>
      </c>
      <c r="M102" s="13">
        <f t="shared" si="20"/>
        <v>289.28999999999996</v>
      </c>
      <c r="Q102" s="30">
        <v>11</v>
      </c>
    </row>
    <row r="103" spans="1:17" ht="16" hidden="1" x14ac:dyDescent="0.2">
      <c r="A103" s="54">
        <v>45862</v>
      </c>
      <c r="B103" s="91">
        <v>5447</v>
      </c>
      <c r="C103" s="59" t="s">
        <v>104</v>
      </c>
      <c r="D103" s="59" t="s">
        <v>12</v>
      </c>
      <c r="E103" s="65">
        <v>5</v>
      </c>
      <c r="F103" s="33">
        <v>1</v>
      </c>
      <c r="G103" s="34">
        <v>102.14</v>
      </c>
      <c r="H103" s="72" t="s">
        <v>106</v>
      </c>
      <c r="I103" s="79">
        <v>510.7</v>
      </c>
      <c r="J103" s="11" t="s">
        <v>87</v>
      </c>
      <c r="K103" s="19">
        <v>92.86</v>
      </c>
      <c r="L103" s="76">
        <v>102.14</v>
      </c>
      <c r="M103" s="13">
        <f t="shared" si="20"/>
        <v>153.20999999999998</v>
      </c>
      <c r="Q103" s="6">
        <v>6.8</v>
      </c>
    </row>
    <row r="104" spans="1:17" ht="16" hidden="1" x14ac:dyDescent="0.2">
      <c r="A104" s="54">
        <v>45863</v>
      </c>
      <c r="B104" s="91">
        <v>5511</v>
      </c>
      <c r="C104" s="59" t="s">
        <v>104</v>
      </c>
      <c r="D104" s="59" t="s">
        <v>98</v>
      </c>
      <c r="E104" s="65">
        <v>5</v>
      </c>
      <c r="F104" s="33">
        <v>1</v>
      </c>
      <c r="G104" s="34">
        <v>150</v>
      </c>
      <c r="H104" s="72" t="s">
        <v>106</v>
      </c>
      <c r="I104" s="79">
        <v>750</v>
      </c>
      <c r="J104" s="11" t="s">
        <v>87</v>
      </c>
      <c r="K104" s="27">
        <v>135</v>
      </c>
      <c r="L104" s="85">
        <v>150</v>
      </c>
      <c r="M104" s="13">
        <f t="shared" si="20"/>
        <v>225</v>
      </c>
      <c r="Q104" s="30">
        <v>20</v>
      </c>
    </row>
    <row r="105" spans="1:17" ht="16" hidden="1" x14ac:dyDescent="0.2">
      <c r="A105" s="54">
        <v>45848</v>
      </c>
      <c r="B105" s="91">
        <v>4607</v>
      </c>
      <c r="C105" s="59" t="s">
        <v>107</v>
      </c>
      <c r="D105" s="59" t="s">
        <v>7</v>
      </c>
      <c r="E105" s="65">
        <v>2</v>
      </c>
      <c r="F105" s="33">
        <v>0</v>
      </c>
      <c r="G105" s="34">
        <v>171.43</v>
      </c>
      <c r="H105" s="72" t="s">
        <v>172</v>
      </c>
      <c r="I105" s="79">
        <v>342.86</v>
      </c>
      <c r="J105" s="11" t="s">
        <v>87</v>
      </c>
      <c r="K105" s="19">
        <v>154.29</v>
      </c>
      <c r="L105" s="76">
        <v>171.43</v>
      </c>
      <c r="M105" s="13">
        <f t="shared" si="20"/>
        <v>102.858</v>
      </c>
      <c r="Q105" s="6">
        <v>17</v>
      </c>
    </row>
    <row r="106" spans="1:17" ht="16" hidden="1" x14ac:dyDescent="0.2">
      <c r="A106" s="54">
        <v>45848</v>
      </c>
      <c r="B106" s="91">
        <v>4607</v>
      </c>
      <c r="C106" s="59" t="s">
        <v>107</v>
      </c>
      <c r="D106" s="59" t="s">
        <v>94</v>
      </c>
      <c r="E106" s="65">
        <v>10</v>
      </c>
      <c r="F106" s="33">
        <v>1</v>
      </c>
      <c r="G106" s="34">
        <v>146.31</v>
      </c>
      <c r="H106" s="72" t="s">
        <v>172</v>
      </c>
      <c r="I106" s="80">
        <v>1463.1</v>
      </c>
      <c r="J106" s="11" t="s">
        <v>87</v>
      </c>
      <c r="K106" s="27">
        <v>131.68</v>
      </c>
      <c r="L106" s="84">
        <v>146.31</v>
      </c>
      <c r="M106" s="13">
        <f t="shared" si="20"/>
        <v>438.92999999999995</v>
      </c>
      <c r="Q106" s="6">
        <v>47.5</v>
      </c>
    </row>
    <row r="107" spans="1:17" ht="16" hidden="1" x14ac:dyDescent="0.2">
      <c r="A107" s="54">
        <v>45866</v>
      </c>
      <c r="B107" s="91">
        <v>5723</v>
      </c>
      <c r="C107" s="59" t="s">
        <v>108</v>
      </c>
      <c r="D107" s="59" t="s">
        <v>7</v>
      </c>
      <c r="E107" s="65">
        <v>20</v>
      </c>
      <c r="F107" s="33">
        <v>4</v>
      </c>
      <c r="G107" s="34">
        <v>171.43</v>
      </c>
      <c r="H107" s="69" t="s">
        <v>134</v>
      </c>
      <c r="I107" s="80">
        <v>3428.6</v>
      </c>
      <c r="J107" s="11" t="s">
        <v>87</v>
      </c>
      <c r="K107" s="19">
        <v>154.29</v>
      </c>
      <c r="L107" s="76">
        <v>171.43</v>
      </c>
      <c r="M107" s="13">
        <f t="shared" si="20"/>
        <v>1028.58</v>
      </c>
      <c r="Q107" s="6">
        <v>17</v>
      </c>
    </row>
    <row r="108" spans="1:17" ht="16" hidden="1" x14ac:dyDescent="0.2">
      <c r="A108" s="54">
        <v>45862</v>
      </c>
      <c r="B108" s="91">
        <v>5460</v>
      </c>
      <c r="C108" s="59" t="s">
        <v>109</v>
      </c>
      <c r="D108" s="59" t="s">
        <v>3</v>
      </c>
      <c r="E108" s="65">
        <v>10</v>
      </c>
      <c r="F108" s="33">
        <v>1</v>
      </c>
      <c r="G108" s="34">
        <v>155.74</v>
      </c>
      <c r="H108" s="72" t="s">
        <v>173</v>
      </c>
      <c r="I108" s="80">
        <v>1557.4</v>
      </c>
      <c r="J108" s="11" t="s">
        <v>87</v>
      </c>
      <c r="K108" s="19">
        <v>140.13999999999999</v>
      </c>
      <c r="L108" s="76">
        <v>155.71</v>
      </c>
      <c r="M108" s="13">
        <f t="shared" si="20"/>
        <v>467.22</v>
      </c>
      <c r="Q108" s="6">
        <v>9</v>
      </c>
    </row>
    <row r="109" spans="1:17" hidden="1" x14ac:dyDescent="0.2">
      <c r="A109" s="54">
        <v>45861</v>
      </c>
      <c r="B109" s="91">
        <v>5347</v>
      </c>
      <c r="C109" s="59" t="s">
        <v>110</v>
      </c>
      <c r="D109" s="59" t="s">
        <v>2</v>
      </c>
      <c r="E109" s="65">
        <v>9</v>
      </c>
      <c r="F109" s="33">
        <v>0</v>
      </c>
      <c r="G109" s="34">
        <v>15.12</v>
      </c>
      <c r="H109" s="68" t="s">
        <v>60</v>
      </c>
      <c r="I109" s="79">
        <v>136.08000000000001</v>
      </c>
      <c r="J109" s="11" t="s">
        <v>87</v>
      </c>
      <c r="K109" s="6">
        <v>12.6</v>
      </c>
      <c r="L109" s="76">
        <v>14</v>
      </c>
      <c r="M109" s="12">
        <v>0</v>
      </c>
      <c r="Q109" s="6">
        <v>6.75</v>
      </c>
    </row>
    <row r="110" spans="1:17" hidden="1" x14ac:dyDescent="0.2">
      <c r="A110" s="54">
        <v>45845</v>
      </c>
      <c r="B110" s="91">
        <v>4410</v>
      </c>
      <c r="C110" s="59" t="s">
        <v>110</v>
      </c>
      <c r="D110" s="59" t="s">
        <v>2</v>
      </c>
      <c r="E110" s="65">
        <v>10</v>
      </c>
      <c r="F110" s="33">
        <v>0</v>
      </c>
      <c r="G110" s="34">
        <v>15.12</v>
      </c>
      <c r="H110" s="68" t="s">
        <v>60</v>
      </c>
      <c r="I110" s="79">
        <v>151.19999999999999</v>
      </c>
      <c r="J110" s="11" t="s">
        <v>87</v>
      </c>
      <c r="K110" s="6">
        <v>12.6</v>
      </c>
      <c r="L110" s="76">
        <v>14</v>
      </c>
      <c r="M110" s="12">
        <v>0</v>
      </c>
      <c r="Q110" s="6">
        <v>6.75</v>
      </c>
    </row>
    <row r="111" spans="1:17" hidden="1" x14ac:dyDescent="0.2">
      <c r="A111" s="54">
        <v>45856</v>
      </c>
      <c r="B111" s="91">
        <v>5073</v>
      </c>
      <c r="C111" s="59" t="s">
        <v>110</v>
      </c>
      <c r="D111" s="59" t="s">
        <v>2</v>
      </c>
      <c r="E111" s="65">
        <v>5</v>
      </c>
      <c r="F111" s="33">
        <v>0</v>
      </c>
      <c r="G111" s="34">
        <v>15.12</v>
      </c>
      <c r="H111" s="68" t="s">
        <v>60</v>
      </c>
      <c r="I111" s="79">
        <v>75.599999999999994</v>
      </c>
      <c r="J111" s="11" t="s">
        <v>87</v>
      </c>
      <c r="K111" s="6">
        <v>12.6</v>
      </c>
      <c r="L111" s="76">
        <v>14</v>
      </c>
      <c r="M111" s="12">
        <v>0</v>
      </c>
      <c r="Q111" s="6">
        <v>6.75</v>
      </c>
    </row>
    <row r="112" spans="1:17" hidden="1" x14ac:dyDescent="0.2">
      <c r="A112" s="54">
        <v>45852</v>
      </c>
      <c r="B112" s="91">
        <v>4805</v>
      </c>
      <c r="C112" s="59" t="s">
        <v>110</v>
      </c>
      <c r="D112" s="59" t="s">
        <v>2</v>
      </c>
      <c r="E112" s="65">
        <v>10</v>
      </c>
      <c r="F112" s="33">
        <v>0</v>
      </c>
      <c r="G112" s="34">
        <v>15.12</v>
      </c>
      <c r="H112" s="68" t="s">
        <v>60</v>
      </c>
      <c r="I112" s="79">
        <v>151.19999999999999</v>
      </c>
      <c r="J112" s="11" t="s">
        <v>87</v>
      </c>
      <c r="K112" s="6">
        <v>12.6</v>
      </c>
      <c r="L112" s="76">
        <v>14</v>
      </c>
      <c r="M112" s="12">
        <v>0</v>
      </c>
      <c r="Q112" s="6">
        <v>6.75</v>
      </c>
    </row>
    <row r="113" spans="1:18" hidden="1" x14ac:dyDescent="0.2">
      <c r="A113" s="54">
        <v>45855</v>
      </c>
      <c r="B113" s="91">
        <v>5011</v>
      </c>
      <c r="C113" s="59" t="s">
        <v>110</v>
      </c>
      <c r="D113" s="59" t="s">
        <v>2</v>
      </c>
      <c r="E113" s="65">
        <v>5</v>
      </c>
      <c r="F113" s="33">
        <v>0</v>
      </c>
      <c r="G113" s="34">
        <v>15.12</v>
      </c>
      <c r="H113" s="68" t="s">
        <v>60</v>
      </c>
      <c r="I113" s="79">
        <v>75.599999999999994</v>
      </c>
      <c r="J113" s="11" t="s">
        <v>87</v>
      </c>
      <c r="K113" s="6">
        <v>12.6</v>
      </c>
      <c r="L113" s="76">
        <v>14</v>
      </c>
      <c r="M113" s="12">
        <v>0</v>
      </c>
      <c r="Q113" s="6">
        <v>6.75</v>
      </c>
    </row>
    <row r="114" spans="1:18" hidden="1" x14ac:dyDescent="0.2">
      <c r="A114" s="54">
        <v>45857</v>
      </c>
      <c r="B114" s="91">
        <v>5149</v>
      </c>
      <c r="C114" s="59" t="s">
        <v>110</v>
      </c>
      <c r="D114" s="59" t="s">
        <v>2</v>
      </c>
      <c r="E114" s="65">
        <v>5</v>
      </c>
      <c r="F114" s="33">
        <v>0</v>
      </c>
      <c r="G114" s="34">
        <v>15.12</v>
      </c>
      <c r="H114" s="68" t="s">
        <v>60</v>
      </c>
      <c r="I114" s="79">
        <v>75.599999999999994</v>
      </c>
      <c r="J114" s="11" t="s">
        <v>87</v>
      </c>
      <c r="K114" s="6">
        <v>12.6</v>
      </c>
      <c r="L114" s="76">
        <v>14</v>
      </c>
      <c r="M114" s="12">
        <v>0</v>
      </c>
      <c r="Q114" s="6">
        <v>6.75</v>
      </c>
    </row>
    <row r="115" spans="1:18" ht="16" hidden="1" x14ac:dyDescent="0.2">
      <c r="A115" s="54">
        <v>45862</v>
      </c>
      <c r="B115" s="91">
        <v>5456</v>
      </c>
      <c r="C115" s="59" t="s">
        <v>111</v>
      </c>
      <c r="D115" s="59" t="s">
        <v>94</v>
      </c>
      <c r="E115" s="65">
        <v>10</v>
      </c>
      <c r="F115" s="33">
        <v>2</v>
      </c>
      <c r="G115" s="34">
        <v>146.31</v>
      </c>
      <c r="H115" s="72" t="s">
        <v>174</v>
      </c>
      <c r="I115" s="80">
        <v>1463.1</v>
      </c>
      <c r="J115" s="11" t="s">
        <v>87</v>
      </c>
      <c r="K115" s="27">
        <v>131.68</v>
      </c>
      <c r="L115" s="84">
        <v>146.31</v>
      </c>
      <c r="M115" s="13">
        <f t="shared" si="20"/>
        <v>438.92999999999995</v>
      </c>
      <c r="Q115" s="6">
        <v>47.5</v>
      </c>
    </row>
    <row r="116" spans="1:18" ht="16" hidden="1" x14ac:dyDescent="0.2">
      <c r="A116" s="54">
        <v>45850</v>
      </c>
      <c r="B116" s="91">
        <v>4784</v>
      </c>
      <c r="C116" s="59" t="s">
        <v>112</v>
      </c>
      <c r="D116" s="59" t="s">
        <v>7</v>
      </c>
      <c r="E116" s="65">
        <v>10</v>
      </c>
      <c r="F116" s="33">
        <v>2</v>
      </c>
      <c r="G116" s="34">
        <v>171.43</v>
      </c>
      <c r="H116" s="72" t="s">
        <v>113</v>
      </c>
      <c r="I116" s="80">
        <v>1714.3</v>
      </c>
      <c r="J116" s="11" t="s">
        <v>87</v>
      </c>
      <c r="K116" s="19">
        <v>154.29</v>
      </c>
      <c r="L116" s="76">
        <v>171.43</v>
      </c>
      <c r="M116" s="13">
        <f t="shared" si="20"/>
        <v>514.29</v>
      </c>
      <c r="Q116" s="6">
        <v>17</v>
      </c>
    </row>
    <row r="117" spans="1:18" ht="16" hidden="1" x14ac:dyDescent="0.2">
      <c r="A117" s="54">
        <v>45850</v>
      </c>
      <c r="B117" s="91">
        <v>4784</v>
      </c>
      <c r="C117" s="59" t="s">
        <v>112</v>
      </c>
      <c r="D117" s="59" t="s">
        <v>94</v>
      </c>
      <c r="E117" s="65">
        <v>10</v>
      </c>
      <c r="F117" s="33">
        <v>2</v>
      </c>
      <c r="G117" s="34">
        <v>146.31</v>
      </c>
      <c r="H117" s="72" t="s">
        <v>113</v>
      </c>
      <c r="I117" s="80">
        <v>1463.1</v>
      </c>
      <c r="J117" s="11" t="s">
        <v>87</v>
      </c>
      <c r="K117" s="27">
        <v>131.68</v>
      </c>
      <c r="L117" s="84">
        <v>146.31</v>
      </c>
      <c r="M117" s="13">
        <f t="shared" si="20"/>
        <v>438.92999999999995</v>
      </c>
      <c r="Q117" s="6">
        <v>47.5</v>
      </c>
    </row>
    <row r="118" spans="1:18" ht="16" hidden="1" x14ac:dyDescent="0.2">
      <c r="A118" s="54">
        <v>45858</v>
      </c>
      <c r="B118" s="91">
        <v>5226</v>
      </c>
      <c r="C118" s="57" t="s">
        <v>20</v>
      </c>
      <c r="D118" s="59" t="s">
        <v>5</v>
      </c>
      <c r="E118" s="65">
        <v>10</v>
      </c>
      <c r="F118" s="33">
        <v>0</v>
      </c>
      <c r="G118" s="34">
        <v>60.94</v>
      </c>
      <c r="H118" s="68" t="s">
        <v>59</v>
      </c>
      <c r="I118" s="79">
        <v>609.4</v>
      </c>
      <c r="J118" s="11" t="s">
        <v>87</v>
      </c>
      <c r="K118" s="19">
        <v>50.79</v>
      </c>
      <c r="L118" s="76">
        <v>56.43</v>
      </c>
      <c r="M118" s="13">
        <f t="shared" si="20"/>
        <v>182.82</v>
      </c>
      <c r="Q118" s="6">
        <v>23</v>
      </c>
    </row>
    <row r="119" spans="1:18" ht="16" hidden="1" x14ac:dyDescent="0.2">
      <c r="A119" s="54">
        <v>45848</v>
      </c>
      <c r="B119" s="91">
        <v>4605</v>
      </c>
      <c r="C119" s="57" t="s">
        <v>20</v>
      </c>
      <c r="D119" s="59" t="s">
        <v>5</v>
      </c>
      <c r="E119" s="65">
        <v>10</v>
      </c>
      <c r="F119" s="33">
        <v>0</v>
      </c>
      <c r="G119" s="34">
        <v>60.94</v>
      </c>
      <c r="H119" s="68" t="s">
        <v>59</v>
      </c>
      <c r="I119" s="79">
        <v>609.4</v>
      </c>
      <c r="J119" s="11" t="s">
        <v>87</v>
      </c>
      <c r="K119" s="19">
        <v>50.79</v>
      </c>
      <c r="L119" s="76">
        <v>56.43</v>
      </c>
      <c r="M119" s="13">
        <f t="shared" si="20"/>
        <v>182.82</v>
      </c>
      <c r="Q119" s="6">
        <v>23</v>
      </c>
    </row>
    <row r="120" spans="1:18" ht="16" hidden="1" x14ac:dyDescent="0.2">
      <c r="A120" s="54">
        <v>45868</v>
      </c>
      <c r="B120" s="91">
        <v>4048</v>
      </c>
      <c r="C120" s="57" t="s">
        <v>20</v>
      </c>
      <c r="D120" s="59" t="s">
        <v>11</v>
      </c>
      <c r="E120" s="65">
        <v>10</v>
      </c>
      <c r="F120" s="33">
        <v>0</v>
      </c>
      <c r="G120" s="34">
        <v>50</v>
      </c>
      <c r="H120" s="68" t="s">
        <v>59</v>
      </c>
      <c r="I120" s="79">
        <v>500</v>
      </c>
      <c r="J120" s="11" t="s">
        <v>87</v>
      </c>
      <c r="K120" s="6">
        <v>45</v>
      </c>
      <c r="L120" s="76">
        <v>50</v>
      </c>
      <c r="M120" s="13">
        <f t="shared" si="20"/>
        <v>150</v>
      </c>
      <c r="Q120" s="6">
        <v>4.55</v>
      </c>
      <c r="R120" s="24">
        <f t="shared" ref="R120:R121" si="21">P120-Q120</f>
        <v>-4.55</v>
      </c>
    </row>
    <row r="121" spans="1:18" ht="16" hidden="1" x14ac:dyDescent="0.2">
      <c r="A121" s="54">
        <v>45869</v>
      </c>
      <c r="B121" s="91">
        <v>5854</v>
      </c>
      <c r="C121" s="57" t="s">
        <v>20</v>
      </c>
      <c r="D121" s="59" t="s">
        <v>11</v>
      </c>
      <c r="E121" s="65">
        <v>10</v>
      </c>
      <c r="F121" s="33">
        <v>1</v>
      </c>
      <c r="G121" s="34">
        <v>50</v>
      </c>
      <c r="H121" s="68" t="s">
        <v>59</v>
      </c>
      <c r="I121" s="79">
        <v>500</v>
      </c>
      <c r="J121" s="11" t="s">
        <v>87</v>
      </c>
      <c r="K121" s="6">
        <v>45</v>
      </c>
      <c r="L121" s="76">
        <v>50</v>
      </c>
      <c r="M121" s="13">
        <f t="shared" si="20"/>
        <v>150</v>
      </c>
      <c r="Q121" s="6">
        <v>4.55</v>
      </c>
      <c r="R121" s="24">
        <f t="shared" si="21"/>
        <v>-4.55</v>
      </c>
    </row>
    <row r="122" spans="1:18" ht="16" hidden="1" x14ac:dyDescent="0.2">
      <c r="A122" s="54">
        <v>45869</v>
      </c>
      <c r="B122" s="91">
        <v>4048</v>
      </c>
      <c r="C122" s="57" t="s">
        <v>20</v>
      </c>
      <c r="D122" s="59" t="s">
        <v>12</v>
      </c>
      <c r="E122" s="65">
        <v>10</v>
      </c>
      <c r="F122" s="33">
        <v>0</v>
      </c>
      <c r="G122" s="34">
        <v>102.14</v>
      </c>
      <c r="H122" s="68" t="s">
        <v>59</v>
      </c>
      <c r="I122" s="80">
        <v>1021.4</v>
      </c>
      <c r="J122" s="11" t="s">
        <v>87</v>
      </c>
      <c r="K122" s="19">
        <v>92.86</v>
      </c>
      <c r="L122" s="76">
        <v>102.14</v>
      </c>
      <c r="M122" s="13">
        <f t="shared" si="20"/>
        <v>306.41999999999996</v>
      </c>
      <c r="Q122" s="6">
        <v>6.8</v>
      </c>
    </row>
    <row r="123" spans="1:18" ht="16" hidden="1" x14ac:dyDescent="0.2">
      <c r="A123" s="54">
        <v>45855</v>
      </c>
      <c r="B123" s="91">
        <v>5009</v>
      </c>
      <c r="C123" s="57" t="s">
        <v>20</v>
      </c>
      <c r="D123" s="59" t="s">
        <v>12</v>
      </c>
      <c r="E123" s="65">
        <v>10</v>
      </c>
      <c r="F123" s="33">
        <v>1</v>
      </c>
      <c r="G123" s="34">
        <v>102.14</v>
      </c>
      <c r="H123" s="68" t="s">
        <v>59</v>
      </c>
      <c r="I123" s="80">
        <v>1021.4</v>
      </c>
      <c r="J123" s="11" t="s">
        <v>87</v>
      </c>
      <c r="K123" s="19">
        <v>92.86</v>
      </c>
      <c r="L123" s="76">
        <v>102.14</v>
      </c>
      <c r="M123" s="13">
        <f t="shared" si="20"/>
        <v>306.41999999999996</v>
      </c>
      <c r="Q123" s="6">
        <v>6.8</v>
      </c>
    </row>
    <row r="124" spans="1:18" ht="16" hidden="1" x14ac:dyDescent="0.2">
      <c r="A124" s="54">
        <v>45856</v>
      </c>
      <c r="B124" s="91">
        <v>5085</v>
      </c>
      <c r="C124" s="57" t="s">
        <v>20</v>
      </c>
      <c r="D124" s="59" t="s">
        <v>12</v>
      </c>
      <c r="E124" s="65">
        <v>10</v>
      </c>
      <c r="F124" s="33">
        <v>1</v>
      </c>
      <c r="G124" s="34">
        <v>102.14</v>
      </c>
      <c r="H124" s="68" t="s">
        <v>59</v>
      </c>
      <c r="I124" s="80">
        <v>1021.4</v>
      </c>
      <c r="J124" s="11" t="s">
        <v>87</v>
      </c>
      <c r="K124" s="19">
        <v>92.86</v>
      </c>
      <c r="L124" s="76">
        <v>102.14</v>
      </c>
      <c r="M124" s="13">
        <f t="shared" si="20"/>
        <v>306.41999999999996</v>
      </c>
      <c r="Q124" s="6">
        <v>6.8</v>
      </c>
    </row>
    <row r="125" spans="1:18" ht="16" hidden="1" x14ac:dyDescent="0.2">
      <c r="A125" s="54">
        <v>45866</v>
      </c>
      <c r="B125" s="91">
        <v>5627</v>
      </c>
      <c r="C125" s="57" t="s">
        <v>20</v>
      </c>
      <c r="D125" s="59" t="s">
        <v>12</v>
      </c>
      <c r="E125" s="65">
        <v>10</v>
      </c>
      <c r="F125" s="33">
        <v>0</v>
      </c>
      <c r="G125" s="34">
        <v>102.14</v>
      </c>
      <c r="H125" s="68" t="s">
        <v>59</v>
      </c>
      <c r="I125" s="80">
        <v>1021.4</v>
      </c>
      <c r="J125" s="11" t="s">
        <v>87</v>
      </c>
      <c r="K125" s="19">
        <v>92.86</v>
      </c>
      <c r="L125" s="76">
        <v>102.14</v>
      </c>
      <c r="M125" s="13">
        <f t="shared" si="20"/>
        <v>306.41999999999996</v>
      </c>
      <c r="Q125" s="6">
        <v>6.8</v>
      </c>
    </row>
    <row r="126" spans="1:18" ht="16" hidden="1" x14ac:dyDescent="0.2">
      <c r="A126" s="54">
        <v>45847</v>
      </c>
      <c r="B126" s="91">
        <v>4542</v>
      </c>
      <c r="C126" s="57" t="s">
        <v>20</v>
      </c>
      <c r="D126" s="59" t="s">
        <v>12</v>
      </c>
      <c r="E126" s="65">
        <v>5</v>
      </c>
      <c r="F126" s="33">
        <v>0</v>
      </c>
      <c r="G126" s="34">
        <v>102.14</v>
      </c>
      <c r="H126" s="68" t="s">
        <v>59</v>
      </c>
      <c r="I126" s="79">
        <v>510.7</v>
      </c>
      <c r="J126" s="11" t="s">
        <v>87</v>
      </c>
      <c r="K126" s="19">
        <v>92.86</v>
      </c>
      <c r="L126" s="76">
        <v>102.14</v>
      </c>
      <c r="M126" s="13">
        <f t="shared" si="20"/>
        <v>153.20999999999998</v>
      </c>
      <c r="Q126" s="6">
        <v>6.8</v>
      </c>
    </row>
    <row r="127" spans="1:18" ht="16" hidden="1" x14ac:dyDescent="0.2">
      <c r="A127" s="54">
        <v>45848</v>
      </c>
      <c r="B127" s="91">
        <v>4605</v>
      </c>
      <c r="C127" s="57" t="s">
        <v>20</v>
      </c>
      <c r="D127" s="59" t="s">
        <v>12</v>
      </c>
      <c r="E127" s="65">
        <v>5</v>
      </c>
      <c r="F127" s="33">
        <v>0</v>
      </c>
      <c r="G127" s="34">
        <v>102.14</v>
      </c>
      <c r="H127" s="68" t="s">
        <v>59</v>
      </c>
      <c r="I127" s="79">
        <v>510.7</v>
      </c>
      <c r="J127" s="11" t="s">
        <v>87</v>
      </c>
      <c r="K127" s="19">
        <v>92.86</v>
      </c>
      <c r="L127" s="76">
        <v>102.14</v>
      </c>
      <c r="M127" s="13">
        <f t="shared" si="20"/>
        <v>153.20999999999998</v>
      </c>
      <c r="Q127" s="6">
        <v>6.8</v>
      </c>
    </row>
    <row r="128" spans="1:18" ht="16" hidden="1" x14ac:dyDescent="0.2">
      <c r="A128" s="54">
        <v>45866</v>
      </c>
      <c r="B128" s="91">
        <v>5627</v>
      </c>
      <c r="C128" s="57" t="s">
        <v>20</v>
      </c>
      <c r="D128" s="59" t="s">
        <v>12</v>
      </c>
      <c r="E128" s="65">
        <v>1</v>
      </c>
      <c r="F128" s="33">
        <v>0</v>
      </c>
      <c r="G128" s="34">
        <v>1</v>
      </c>
      <c r="H128" s="68" t="s">
        <v>59</v>
      </c>
      <c r="I128" s="79">
        <v>1</v>
      </c>
      <c r="J128" s="11" t="s">
        <v>87</v>
      </c>
      <c r="K128" s="19">
        <v>92.86</v>
      </c>
      <c r="L128" s="76">
        <v>102.14</v>
      </c>
      <c r="M128" s="13">
        <f t="shared" si="20"/>
        <v>0.3</v>
      </c>
      <c r="Q128" s="6">
        <v>6.8</v>
      </c>
    </row>
    <row r="129" spans="1:17" ht="16" hidden="1" x14ac:dyDescent="0.2">
      <c r="A129" s="54">
        <v>45862</v>
      </c>
      <c r="B129" s="91">
        <v>5417</v>
      </c>
      <c r="C129" s="57" t="s">
        <v>20</v>
      </c>
      <c r="D129" s="59" t="s">
        <v>12</v>
      </c>
      <c r="E129" s="65">
        <v>10</v>
      </c>
      <c r="F129" s="33">
        <v>1</v>
      </c>
      <c r="G129" s="34">
        <v>102.14</v>
      </c>
      <c r="H129" s="68" t="s">
        <v>59</v>
      </c>
      <c r="I129" s="80">
        <v>1021.4</v>
      </c>
      <c r="J129" s="11" t="s">
        <v>87</v>
      </c>
      <c r="K129" s="19">
        <v>92.86</v>
      </c>
      <c r="L129" s="76">
        <v>102.14</v>
      </c>
      <c r="M129" s="13">
        <f t="shared" si="20"/>
        <v>306.41999999999996</v>
      </c>
      <c r="Q129" s="6">
        <v>6.8</v>
      </c>
    </row>
    <row r="130" spans="1:17" ht="16" hidden="1" x14ac:dyDescent="0.2">
      <c r="A130" s="54">
        <v>45853</v>
      </c>
      <c r="B130" s="91">
        <v>4885</v>
      </c>
      <c r="C130" s="57" t="s">
        <v>20</v>
      </c>
      <c r="D130" s="59" t="s">
        <v>12</v>
      </c>
      <c r="E130" s="65">
        <v>10</v>
      </c>
      <c r="F130" s="33">
        <v>1</v>
      </c>
      <c r="G130" s="34">
        <v>102.14</v>
      </c>
      <c r="H130" s="68" t="s">
        <v>59</v>
      </c>
      <c r="I130" s="80">
        <v>1021.4</v>
      </c>
      <c r="J130" s="11" t="s">
        <v>87</v>
      </c>
      <c r="K130" s="19">
        <v>92.86</v>
      </c>
      <c r="L130" s="76">
        <v>102.14</v>
      </c>
      <c r="M130" s="13">
        <f t="shared" si="20"/>
        <v>306.41999999999996</v>
      </c>
      <c r="Q130" s="6">
        <v>6.8</v>
      </c>
    </row>
    <row r="131" spans="1:17" ht="16" hidden="1" x14ac:dyDescent="0.2">
      <c r="A131" s="54">
        <v>45857</v>
      </c>
      <c r="B131" s="91">
        <v>5150</v>
      </c>
      <c r="C131" s="57" t="s">
        <v>20</v>
      </c>
      <c r="D131" s="59" t="s">
        <v>3</v>
      </c>
      <c r="E131" s="65">
        <v>3</v>
      </c>
      <c r="F131" s="33">
        <v>0</v>
      </c>
      <c r="G131" s="34">
        <v>155.71</v>
      </c>
      <c r="H131" s="68" t="s">
        <v>59</v>
      </c>
      <c r="I131" s="79">
        <v>467.13</v>
      </c>
      <c r="J131" s="11" t="s">
        <v>87</v>
      </c>
      <c r="K131" s="19">
        <v>140.13999999999999</v>
      </c>
      <c r="L131" s="76">
        <v>155.71</v>
      </c>
      <c r="M131" s="13">
        <f t="shared" si="20"/>
        <v>140.13899999999998</v>
      </c>
      <c r="Q131" s="6">
        <v>9</v>
      </c>
    </row>
    <row r="132" spans="1:17" ht="16" hidden="1" x14ac:dyDescent="0.2">
      <c r="A132" s="54">
        <v>45853</v>
      </c>
      <c r="B132" s="91">
        <v>4894</v>
      </c>
      <c r="C132" s="57" t="s">
        <v>20</v>
      </c>
      <c r="D132" s="59" t="s">
        <v>3</v>
      </c>
      <c r="E132" s="65">
        <v>4</v>
      </c>
      <c r="F132" s="33">
        <v>0</v>
      </c>
      <c r="G132" s="34">
        <v>155.71</v>
      </c>
      <c r="H132" s="68" t="s">
        <v>59</v>
      </c>
      <c r="I132" s="79">
        <v>622.84</v>
      </c>
      <c r="J132" s="11" t="s">
        <v>87</v>
      </c>
      <c r="K132" s="19">
        <v>140.13999999999999</v>
      </c>
      <c r="L132" s="76">
        <v>155.71</v>
      </c>
      <c r="M132" s="13">
        <f t="shared" si="20"/>
        <v>186.852</v>
      </c>
      <c r="Q132" s="6">
        <v>9</v>
      </c>
    </row>
    <row r="133" spans="1:17" ht="16" hidden="1" x14ac:dyDescent="0.2">
      <c r="A133" s="54">
        <v>45850</v>
      </c>
      <c r="B133" s="91">
        <v>4734</v>
      </c>
      <c r="C133" s="57" t="s">
        <v>20</v>
      </c>
      <c r="D133" s="59" t="s">
        <v>3</v>
      </c>
      <c r="E133" s="65">
        <v>6</v>
      </c>
      <c r="F133" s="33">
        <v>0</v>
      </c>
      <c r="G133" s="34">
        <v>155.71</v>
      </c>
      <c r="H133" s="68" t="s">
        <v>59</v>
      </c>
      <c r="I133" s="79">
        <v>934.26</v>
      </c>
      <c r="J133" s="11" t="s">
        <v>87</v>
      </c>
      <c r="K133" s="19">
        <v>140.13999999999999</v>
      </c>
      <c r="L133" s="76">
        <v>155.71</v>
      </c>
      <c r="M133" s="13">
        <f t="shared" si="20"/>
        <v>280.27799999999996</v>
      </c>
      <c r="Q133" s="6">
        <v>9</v>
      </c>
    </row>
    <row r="134" spans="1:17" ht="16" hidden="1" x14ac:dyDescent="0.2">
      <c r="A134" s="54">
        <v>45862</v>
      </c>
      <c r="B134" s="91">
        <v>5446</v>
      </c>
      <c r="C134" s="59" t="s">
        <v>114</v>
      </c>
      <c r="D134" s="59" t="s">
        <v>115</v>
      </c>
      <c r="E134" s="65">
        <v>3</v>
      </c>
      <c r="F134" s="33">
        <v>0</v>
      </c>
      <c r="G134" s="34">
        <v>157.13999999999999</v>
      </c>
      <c r="H134" s="72" t="s">
        <v>175</v>
      </c>
      <c r="I134" s="79">
        <v>471.42</v>
      </c>
      <c r="J134" s="11" t="s">
        <v>87</v>
      </c>
      <c r="K134" s="27">
        <v>141.43</v>
      </c>
      <c r="L134" s="84">
        <v>157.13999999999999</v>
      </c>
      <c r="M134" s="13">
        <f t="shared" si="20"/>
        <v>141.42599999999999</v>
      </c>
      <c r="Q134">
        <v>22</v>
      </c>
    </row>
    <row r="135" spans="1:17" ht="16" hidden="1" x14ac:dyDescent="0.2">
      <c r="A135" s="54">
        <v>45848</v>
      </c>
      <c r="B135" s="91">
        <v>4603</v>
      </c>
      <c r="C135" s="59" t="s">
        <v>116</v>
      </c>
      <c r="D135" s="59" t="s">
        <v>7</v>
      </c>
      <c r="E135" s="65">
        <v>10</v>
      </c>
      <c r="F135" s="33">
        <v>2</v>
      </c>
      <c r="G135" s="34">
        <v>171.43</v>
      </c>
      <c r="H135" s="72" t="s">
        <v>117</v>
      </c>
      <c r="I135" s="80">
        <v>1714.3</v>
      </c>
      <c r="J135" s="11" t="s">
        <v>87</v>
      </c>
      <c r="K135" s="19">
        <v>154.29</v>
      </c>
      <c r="L135" s="76">
        <v>171.43</v>
      </c>
      <c r="M135" s="13">
        <f t="shared" si="20"/>
        <v>514.29</v>
      </c>
      <c r="Q135" s="6">
        <v>17</v>
      </c>
    </row>
    <row r="136" spans="1:17" ht="16" hidden="1" x14ac:dyDescent="0.2">
      <c r="A136" s="54">
        <v>45848</v>
      </c>
      <c r="B136" s="91">
        <v>4603</v>
      </c>
      <c r="C136" s="59" t="s">
        <v>116</v>
      </c>
      <c r="D136" s="59" t="s">
        <v>12</v>
      </c>
      <c r="E136" s="65">
        <v>10</v>
      </c>
      <c r="F136" s="33">
        <v>2</v>
      </c>
      <c r="G136" s="34">
        <v>102.14</v>
      </c>
      <c r="H136" s="72" t="s">
        <v>117</v>
      </c>
      <c r="I136" s="80">
        <v>1021.4</v>
      </c>
      <c r="J136" s="11" t="s">
        <v>87</v>
      </c>
      <c r="K136" s="19">
        <v>92.86</v>
      </c>
      <c r="L136" s="76">
        <v>102.14</v>
      </c>
      <c r="M136" s="13">
        <f t="shared" si="20"/>
        <v>306.41999999999996</v>
      </c>
      <c r="Q136" s="6">
        <v>6.8</v>
      </c>
    </row>
    <row r="137" spans="1:17" ht="16" hidden="1" x14ac:dyDescent="0.2">
      <c r="A137" s="54">
        <v>45860</v>
      </c>
      <c r="B137" s="91">
        <v>5314</v>
      </c>
      <c r="C137" s="59" t="s">
        <v>118</v>
      </c>
      <c r="D137" s="59" t="s">
        <v>7</v>
      </c>
      <c r="E137" s="65">
        <v>5</v>
      </c>
      <c r="F137" s="33">
        <v>1</v>
      </c>
      <c r="G137" s="34">
        <v>171.43</v>
      </c>
      <c r="H137" s="71" t="s">
        <v>139</v>
      </c>
      <c r="I137" s="79">
        <v>857.15</v>
      </c>
      <c r="J137" s="11" t="s">
        <v>87</v>
      </c>
      <c r="K137" s="19">
        <v>154.29</v>
      </c>
      <c r="L137" s="76">
        <v>171.43</v>
      </c>
      <c r="M137" s="13">
        <f t="shared" si="20"/>
        <v>257.14499999999998</v>
      </c>
      <c r="Q137" s="6">
        <v>17</v>
      </c>
    </row>
    <row r="138" spans="1:17" ht="16" hidden="1" x14ac:dyDescent="0.2">
      <c r="A138" s="54">
        <v>45850</v>
      </c>
      <c r="B138" s="91">
        <v>4781</v>
      </c>
      <c r="C138" s="59" t="s">
        <v>118</v>
      </c>
      <c r="D138" s="59" t="s">
        <v>12</v>
      </c>
      <c r="E138" s="65">
        <v>5</v>
      </c>
      <c r="F138" s="33">
        <v>1</v>
      </c>
      <c r="G138" s="34">
        <v>102.14</v>
      </c>
      <c r="H138" s="71" t="s">
        <v>139</v>
      </c>
      <c r="I138" s="79">
        <v>510.7</v>
      </c>
      <c r="J138" s="11" t="s">
        <v>87</v>
      </c>
      <c r="K138" s="19">
        <v>92.86</v>
      </c>
      <c r="L138" s="76">
        <v>102.14</v>
      </c>
      <c r="M138" s="13">
        <f t="shared" si="20"/>
        <v>153.20999999999998</v>
      </c>
      <c r="Q138" s="6">
        <v>6.8</v>
      </c>
    </row>
    <row r="139" spans="1:17" ht="16" hidden="1" x14ac:dyDescent="0.2">
      <c r="A139" s="54">
        <v>45899</v>
      </c>
      <c r="B139" s="91">
        <v>293</v>
      </c>
      <c r="C139" s="59" t="s">
        <v>146</v>
      </c>
      <c r="D139" s="59" t="s">
        <v>94</v>
      </c>
      <c r="E139" s="65">
        <v>50</v>
      </c>
      <c r="F139" s="33">
        <v>0</v>
      </c>
      <c r="G139" s="34">
        <v>55</v>
      </c>
      <c r="H139" s="69" t="s">
        <v>60</v>
      </c>
      <c r="I139" s="80">
        <v>2750</v>
      </c>
      <c r="J139" s="11" t="s">
        <v>147</v>
      </c>
      <c r="K139" s="27">
        <v>131.68</v>
      </c>
      <c r="L139" s="84">
        <v>146.31</v>
      </c>
      <c r="M139" s="12">
        <v>0</v>
      </c>
      <c r="Q139" s="6">
        <v>47.5</v>
      </c>
    </row>
    <row r="140" spans="1:17" ht="16" hidden="1" x14ac:dyDescent="0.2">
      <c r="A140" s="54">
        <v>45899</v>
      </c>
      <c r="B140" s="91">
        <v>293</v>
      </c>
      <c r="C140" s="59" t="s">
        <v>146</v>
      </c>
      <c r="D140" s="59" t="s">
        <v>9</v>
      </c>
      <c r="E140" s="65">
        <v>100</v>
      </c>
      <c r="F140" s="33">
        <v>0</v>
      </c>
      <c r="G140" s="34">
        <v>9</v>
      </c>
      <c r="H140" s="69" t="s">
        <v>60</v>
      </c>
      <c r="I140" s="79">
        <v>900</v>
      </c>
      <c r="J140" s="11" t="s">
        <v>147</v>
      </c>
      <c r="K140" s="23">
        <v>57.86</v>
      </c>
      <c r="L140" s="76">
        <v>64.290000000000006</v>
      </c>
      <c r="M140" s="12">
        <v>0</v>
      </c>
    </row>
    <row r="141" spans="1:17" hidden="1" x14ac:dyDescent="0.2">
      <c r="A141" s="54">
        <v>45875</v>
      </c>
      <c r="B141" s="91">
        <v>247</v>
      </c>
      <c r="C141" s="59" t="s">
        <v>148</v>
      </c>
      <c r="D141" s="59" t="s">
        <v>2</v>
      </c>
      <c r="E141" s="65">
        <v>50</v>
      </c>
      <c r="F141" s="33">
        <v>0</v>
      </c>
      <c r="G141" s="34">
        <v>11</v>
      </c>
      <c r="H141" s="73" t="s">
        <v>60</v>
      </c>
      <c r="I141" s="79">
        <v>550</v>
      </c>
      <c r="J141" s="11" t="s">
        <v>147</v>
      </c>
      <c r="K141" s="6">
        <v>12.6</v>
      </c>
      <c r="L141" s="76">
        <v>14</v>
      </c>
      <c r="M141" s="12">
        <v>0</v>
      </c>
    </row>
    <row r="142" spans="1:17" ht="16" hidden="1" x14ac:dyDescent="0.2">
      <c r="A142" s="54">
        <v>45875</v>
      </c>
      <c r="B142" s="91">
        <v>243</v>
      </c>
      <c r="C142" s="59" t="s">
        <v>149</v>
      </c>
      <c r="D142" s="59" t="s">
        <v>115</v>
      </c>
      <c r="E142" s="65">
        <v>5</v>
      </c>
      <c r="F142" s="33">
        <v>0</v>
      </c>
      <c r="G142" s="34">
        <v>157.13999999999999</v>
      </c>
      <c r="H142" s="69" t="s">
        <v>157</v>
      </c>
      <c r="I142" s="79">
        <v>785.7</v>
      </c>
      <c r="J142" s="11" t="s">
        <v>147</v>
      </c>
      <c r="K142" s="27">
        <v>141.43</v>
      </c>
      <c r="L142" s="84">
        <v>157.13999999999999</v>
      </c>
      <c r="M142" s="13">
        <f t="shared" ref="M142:M143" si="22">I142*30%</f>
        <v>235.71</v>
      </c>
    </row>
    <row r="143" spans="1:17" ht="16" hidden="1" x14ac:dyDescent="0.2">
      <c r="A143" s="54">
        <v>45875</v>
      </c>
      <c r="B143" s="91">
        <v>243</v>
      </c>
      <c r="C143" s="59" t="s">
        <v>149</v>
      </c>
      <c r="D143" s="59" t="s">
        <v>3</v>
      </c>
      <c r="E143" s="65">
        <v>5</v>
      </c>
      <c r="F143" s="33">
        <v>0</v>
      </c>
      <c r="G143" s="34">
        <v>155.71</v>
      </c>
      <c r="H143" s="69" t="s">
        <v>157</v>
      </c>
      <c r="I143" s="79">
        <v>778.55</v>
      </c>
      <c r="J143" s="11" t="s">
        <v>147</v>
      </c>
      <c r="K143" s="19">
        <v>140.13999999999999</v>
      </c>
      <c r="L143" s="76">
        <v>155.71</v>
      </c>
      <c r="M143" s="13">
        <f t="shared" si="22"/>
        <v>233.56499999999997</v>
      </c>
    </row>
    <row r="144" spans="1:17" hidden="1" x14ac:dyDescent="0.2">
      <c r="A144" s="54">
        <v>45875</v>
      </c>
      <c r="B144" s="91">
        <v>245</v>
      </c>
      <c r="C144" s="59" t="s">
        <v>150</v>
      </c>
      <c r="D144" s="59" t="s">
        <v>151</v>
      </c>
      <c r="E144" s="65">
        <v>100</v>
      </c>
      <c r="F144" s="33">
        <v>0</v>
      </c>
      <c r="G144" s="34">
        <v>195</v>
      </c>
      <c r="H144" s="69" t="s">
        <v>60</v>
      </c>
      <c r="I144" s="80">
        <v>19500</v>
      </c>
      <c r="J144" s="11" t="s">
        <v>147</v>
      </c>
      <c r="M144" s="13">
        <v>0</v>
      </c>
    </row>
    <row r="145" spans="1:17" ht="16" hidden="1" x14ac:dyDescent="0.2">
      <c r="A145" s="54">
        <v>45895</v>
      </c>
      <c r="B145" s="91">
        <v>289</v>
      </c>
      <c r="C145" s="59" t="s">
        <v>152</v>
      </c>
      <c r="D145" s="59" t="s">
        <v>98</v>
      </c>
      <c r="E145" s="65">
        <v>50</v>
      </c>
      <c r="F145" s="33">
        <v>0</v>
      </c>
      <c r="G145" s="34">
        <v>65</v>
      </c>
      <c r="H145" s="69" t="s">
        <v>60</v>
      </c>
      <c r="I145" s="80">
        <v>3250</v>
      </c>
      <c r="J145" s="11" t="s">
        <v>147</v>
      </c>
      <c r="K145" s="27">
        <v>135</v>
      </c>
      <c r="L145" s="85">
        <v>150</v>
      </c>
      <c r="M145" s="13">
        <v>0</v>
      </c>
    </row>
    <row r="146" spans="1:17" ht="16" hidden="1" x14ac:dyDescent="0.2">
      <c r="A146" s="54">
        <v>45890</v>
      </c>
      <c r="B146" s="91">
        <v>280</v>
      </c>
      <c r="C146" s="59" t="s">
        <v>156</v>
      </c>
      <c r="D146" s="59" t="s">
        <v>5</v>
      </c>
      <c r="E146" s="65">
        <v>30</v>
      </c>
      <c r="F146" s="33">
        <v>3</v>
      </c>
      <c r="G146" s="34">
        <v>56.43</v>
      </c>
      <c r="H146" s="69" t="s">
        <v>60</v>
      </c>
      <c r="I146" s="80">
        <v>1692.9</v>
      </c>
      <c r="J146" s="11" t="s">
        <v>147</v>
      </c>
      <c r="K146" s="19">
        <v>50.79</v>
      </c>
      <c r="L146" s="76">
        <v>56.43</v>
      </c>
      <c r="M146" s="13">
        <v>0</v>
      </c>
      <c r="Q146" s="6">
        <v>23</v>
      </c>
    </row>
    <row r="147" spans="1:17" hidden="1" x14ac:dyDescent="0.2">
      <c r="A147" s="54">
        <v>45875</v>
      </c>
      <c r="B147" s="91">
        <v>242</v>
      </c>
      <c r="C147" s="59" t="s">
        <v>156</v>
      </c>
      <c r="D147" s="59" t="s">
        <v>153</v>
      </c>
      <c r="E147" s="65">
        <v>100</v>
      </c>
      <c r="F147" s="33">
        <v>0</v>
      </c>
      <c r="G147" s="34">
        <v>164.8</v>
      </c>
      <c r="H147" s="69" t="s">
        <v>60</v>
      </c>
      <c r="I147" s="80">
        <v>16480</v>
      </c>
      <c r="J147" s="11" t="s">
        <v>147</v>
      </c>
      <c r="K147" s="40">
        <v>185.5</v>
      </c>
      <c r="L147" s="86">
        <v>206.25</v>
      </c>
      <c r="M147" s="13">
        <v>0</v>
      </c>
    </row>
    <row r="148" spans="1:17" ht="16" hidden="1" x14ac:dyDescent="0.2">
      <c r="A148" s="54">
        <v>45890</v>
      </c>
      <c r="B148" s="91">
        <v>280</v>
      </c>
      <c r="C148" s="59" t="s">
        <v>156</v>
      </c>
      <c r="D148" s="59" t="s">
        <v>154</v>
      </c>
      <c r="E148" s="65">
        <v>11</v>
      </c>
      <c r="F148" s="33">
        <v>0</v>
      </c>
      <c r="G148" s="34">
        <v>361.43</v>
      </c>
      <c r="H148" s="69" t="s">
        <v>60</v>
      </c>
      <c r="I148" s="80">
        <v>3975.73</v>
      </c>
      <c r="J148" s="11" t="s">
        <v>147</v>
      </c>
      <c r="K148" s="21">
        <v>325.28571428571399</v>
      </c>
      <c r="L148" s="76">
        <v>361.43</v>
      </c>
      <c r="M148" s="12">
        <v>0</v>
      </c>
    </row>
    <row r="149" spans="1:17" ht="16" hidden="1" x14ac:dyDescent="0.2">
      <c r="A149" s="54">
        <v>45895</v>
      </c>
      <c r="B149" s="91">
        <v>290</v>
      </c>
      <c r="C149" s="59" t="s">
        <v>156</v>
      </c>
      <c r="D149" s="59" t="s">
        <v>154</v>
      </c>
      <c r="E149" s="65">
        <v>11</v>
      </c>
      <c r="F149" s="33">
        <v>0</v>
      </c>
      <c r="G149" s="34">
        <v>361.43</v>
      </c>
      <c r="H149" s="69" t="s">
        <v>60</v>
      </c>
      <c r="I149" s="80">
        <v>3975.73</v>
      </c>
      <c r="J149" s="11" t="s">
        <v>147</v>
      </c>
      <c r="K149" s="21">
        <v>325.28571428571399</v>
      </c>
      <c r="L149" s="76">
        <v>361.43</v>
      </c>
      <c r="M149" s="12">
        <v>0</v>
      </c>
    </row>
    <row r="150" spans="1:17" ht="16" hidden="1" x14ac:dyDescent="0.2">
      <c r="A150" s="54">
        <v>45890</v>
      </c>
      <c r="B150" s="91">
        <v>280</v>
      </c>
      <c r="C150" s="59" t="s">
        <v>156</v>
      </c>
      <c r="D150" s="59" t="s">
        <v>101</v>
      </c>
      <c r="E150" s="65">
        <v>10</v>
      </c>
      <c r="F150" s="33">
        <v>1</v>
      </c>
      <c r="G150" s="34">
        <v>142.86000000000001</v>
      </c>
      <c r="H150" s="69" t="s">
        <v>60</v>
      </c>
      <c r="I150" s="80">
        <v>1428.6</v>
      </c>
      <c r="J150" s="11" t="s">
        <v>147</v>
      </c>
      <c r="K150" s="29">
        <v>128.57142857142901</v>
      </c>
      <c r="L150" s="84">
        <v>142.86000000000001</v>
      </c>
      <c r="M150" s="13">
        <v>0</v>
      </c>
    </row>
    <row r="151" spans="1:17" hidden="1" x14ac:dyDescent="0.2">
      <c r="A151" s="54">
        <v>45895</v>
      </c>
      <c r="B151" s="91">
        <v>290</v>
      </c>
      <c r="C151" s="59" t="s">
        <v>156</v>
      </c>
      <c r="D151" s="59" t="s">
        <v>155</v>
      </c>
      <c r="E151" s="65">
        <v>20</v>
      </c>
      <c r="F151" s="33">
        <v>2</v>
      </c>
      <c r="G151" s="34">
        <v>107.14</v>
      </c>
      <c r="H151" s="69" t="s">
        <v>60</v>
      </c>
      <c r="I151" s="80">
        <v>2142.8000000000002</v>
      </c>
      <c r="J151" s="11" t="s">
        <v>147</v>
      </c>
      <c r="M151" s="13">
        <v>0</v>
      </c>
    </row>
    <row r="152" spans="1:17" ht="16" hidden="1" x14ac:dyDescent="0.2">
      <c r="A152" s="54">
        <v>45895</v>
      </c>
      <c r="B152" s="91">
        <v>290</v>
      </c>
      <c r="C152" s="59" t="s">
        <v>156</v>
      </c>
      <c r="D152" s="59" t="s">
        <v>12</v>
      </c>
      <c r="E152" s="65">
        <v>18</v>
      </c>
      <c r="F152" s="33">
        <v>0</v>
      </c>
      <c r="G152" s="34">
        <v>102.14</v>
      </c>
      <c r="H152" s="69" t="s">
        <v>60</v>
      </c>
      <c r="I152" s="80">
        <v>1838.52</v>
      </c>
      <c r="J152" s="11" t="s">
        <v>147</v>
      </c>
      <c r="K152" s="19">
        <v>92.86</v>
      </c>
      <c r="L152" s="76">
        <v>102.14</v>
      </c>
      <c r="M152" s="13">
        <v>0</v>
      </c>
    </row>
    <row r="153" spans="1:17" ht="16" hidden="1" x14ac:dyDescent="0.2">
      <c r="A153" s="54">
        <v>45890</v>
      </c>
      <c r="B153" s="91">
        <v>280</v>
      </c>
      <c r="C153" s="59" t="s">
        <v>156</v>
      </c>
      <c r="D153" s="59" t="s">
        <v>12</v>
      </c>
      <c r="E153" s="65">
        <v>20</v>
      </c>
      <c r="F153" s="33">
        <v>2</v>
      </c>
      <c r="G153" s="34">
        <v>102.14</v>
      </c>
      <c r="H153" s="69" t="s">
        <v>60</v>
      </c>
      <c r="I153" s="80">
        <v>2042.8</v>
      </c>
      <c r="J153" s="11" t="s">
        <v>147</v>
      </c>
      <c r="K153" s="19">
        <v>92.86</v>
      </c>
      <c r="L153" s="76">
        <v>102.14</v>
      </c>
      <c r="M153" s="13">
        <v>0</v>
      </c>
    </row>
    <row r="154" spans="1:17" ht="16" hidden="1" x14ac:dyDescent="0.2">
      <c r="A154" s="54">
        <v>45895</v>
      </c>
      <c r="B154" s="91">
        <v>290</v>
      </c>
      <c r="C154" s="59" t="s">
        <v>156</v>
      </c>
      <c r="D154" s="59" t="s">
        <v>115</v>
      </c>
      <c r="E154" s="65">
        <v>10</v>
      </c>
      <c r="F154" s="33">
        <v>1</v>
      </c>
      <c r="G154" s="34">
        <v>157.13999999999999</v>
      </c>
      <c r="H154" s="69" t="s">
        <v>60</v>
      </c>
      <c r="I154" s="80">
        <v>1571.4</v>
      </c>
      <c r="J154" s="11" t="s">
        <v>147</v>
      </c>
      <c r="K154" s="27">
        <v>141.43</v>
      </c>
      <c r="L154" s="84">
        <v>157.13999999999999</v>
      </c>
      <c r="M154" s="13">
        <v>0</v>
      </c>
    </row>
    <row r="155" spans="1:17" hidden="1" x14ac:dyDescent="0.2">
      <c r="A155" s="54">
        <v>45881</v>
      </c>
      <c r="B155" s="91">
        <v>260</v>
      </c>
      <c r="C155" s="59" t="s">
        <v>170</v>
      </c>
      <c r="D155" s="59" t="s">
        <v>2</v>
      </c>
      <c r="E155" s="65">
        <v>30</v>
      </c>
      <c r="F155" s="33">
        <v>0</v>
      </c>
      <c r="G155" s="34">
        <v>14</v>
      </c>
      <c r="H155" s="68" t="s">
        <v>59</v>
      </c>
      <c r="I155" s="79">
        <v>420</v>
      </c>
      <c r="J155" s="11" t="s">
        <v>147</v>
      </c>
      <c r="K155" s="6">
        <v>12.6</v>
      </c>
      <c r="L155" s="76">
        <v>14</v>
      </c>
      <c r="M155" s="12">
        <v>0</v>
      </c>
    </row>
    <row r="156" spans="1:17" hidden="1" x14ac:dyDescent="0.2">
      <c r="A156" s="54">
        <v>45880</v>
      </c>
      <c r="B156" s="91">
        <v>258</v>
      </c>
      <c r="C156" s="59" t="s">
        <v>170</v>
      </c>
      <c r="D156" s="59" t="s">
        <v>2</v>
      </c>
      <c r="E156" s="65">
        <v>30</v>
      </c>
      <c r="F156" s="33">
        <v>0</v>
      </c>
      <c r="G156" s="34">
        <v>14</v>
      </c>
      <c r="H156" s="68" t="s">
        <v>59</v>
      </c>
      <c r="I156" s="79">
        <v>420</v>
      </c>
      <c r="J156" s="11" t="s">
        <v>147</v>
      </c>
      <c r="K156" s="6">
        <v>12.6</v>
      </c>
      <c r="L156" s="76">
        <v>14</v>
      </c>
      <c r="M156" s="12">
        <v>0</v>
      </c>
    </row>
    <row r="157" spans="1:17" hidden="1" x14ac:dyDescent="0.2">
      <c r="A157" s="54">
        <v>45894</v>
      </c>
      <c r="B157" s="91">
        <v>286</v>
      </c>
      <c r="C157" s="59" t="s">
        <v>170</v>
      </c>
      <c r="D157" s="59" t="s">
        <v>2</v>
      </c>
      <c r="E157" s="65">
        <v>30</v>
      </c>
      <c r="F157" s="33">
        <v>0</v>
      </c>
      <c r="G157" s="34">
        <v>14</v>
      </c>
      <c r="H157" s="68" t="s">
        <v>59</v>
      </c>
      <c r="I157" s="79">
        <v>420</v>
      </c>
      <c r="J157" s="11" t="s">
        <v>147</v>
      </c>
      <c r="K157" s="6">
        <v>12.6</v>
      </c>
      <c r="L157" s="76">
        <v>14</v>
      </c>
      <c r="M157" s="12">
        <v>0</v>
      </c>
    </row>
    <row r="158" spans="1:17" hidden="1" x14ac:dyDescent="0.2">
      <c r="A158" s="54">
        <v>45892</v>
      </c>
      <c r="B158" s="91">
        <v>283</v>
      </c>
      <c r="C158" s="59" t="s">
        <v>170</v>
      </c>
      <c r="D158" s="59" t="s">
        <v>2</v>
      </c>
      <c r="E158" s="65">
        <v>30</v>
      </c>
      <c r="F158" s="33">
        <v>0</v>
      </c>
      <c r="G158" s="34">
        <v>14</v>
      </c>
      <c r="H158" s="68" t="s">
        <v>59</v>
      </c>
      <c r="I158" s="79">
        <v>420</v>
      </c>
      <c r="J158" s="11" t="s">
        <v>147</v>
      </c>
      <c r="K158" s="6">
        <v>12.6</v>
      </c>
      <c r="L158" s="76">
        <v>14</v>
      </c>
      <c r="M158" s="12">
        <v>0</v>
      </c>
    </row>
    <row r="159" spans="1:17" hidden="1" x14ac:dyDescent="0.2">
      <c r="A159" s="54">
        <v>45882</v>
      </c>
      <c r="B159" s="91">
        <v>263</v>
      </c>
      <c r="C159" s="59" t="s">
        <v>170</v>
      </c>
      <c r="D159" s="59" t="s">
        <v>2</v>
      </c>
      <c r="E159" s="65">
        <v>30</v>
      </c>
      <c r="F159" s="33">
        <v>0</v>
      </c>
      <c r="G159" s="34">
        <v>14</v>
      </c>
      <c r="H159" s="68" t="s">
        <v>59</v>
      </c>
      <c r="I159" s="79">
        <v>420</v>
      </c>
      <c r="J159" s="11" t="s">
        <v>147</v>
      </c>
      <c r="K159" s="6">
        <v>12.6</v>
      </c>
      <c r="L159" s="76">
        <v>14</v>
      </c>
      <c r="M159" s="12">
        <v>0</v>
      </c>
    </row>
    <row r="160" spans="1:17" hidden="1" x14ac:dyDescent="0.2">
      <c r="A160" s="54">
        <v>45888</v>
      </c>
      <c r="B160" s="91">
        <v>277</v>
      </c>
      <c r="C160" s="59" t="s">
        <v>170</v>
      </c>
      <c r="D160" s="59" t="s">
        <v>2</v>
      </c>
      <c r="E160" s="65">
        <v>30</v>
      </c>
      <c r="F160" s="33">
        <v>0</v>
      </c>
      <c r="G160" s="34">
        <v>14</v>
      </c>
      <c r="H160" s="68" t="s">
        <v>59</v>
      </c>
      <c r="I160" s="79">
        <v>420</v>
      </c>
      <c r="J160" s="11" t="s">
        <v>147</v>
      </c>
      <c r="K160" s="6">
        <v>12.6</v>
      </c>
      <c r="L160" s="76">
        <v>14</v>
      </c>
      <c r="M160" s="12">
        <v>0</v>
      </c>
    </row>
    <row r="161" spans="1:17" hidden="1" x14ac:dyDescent="0.2">
      <c r="A161" s="54">
        <v>45870</v>
      </c>
      <c r="B161" s="91">
        <v>231</v>
      </c>
      <c r="C161" s="59" t="s">
        <v>170</v>
      </c>
      <c r="D161" s="59" t="s">
        <v>2</v>
      </c>
      <c r="E161" s="65">
        <v>30</v>
      </c>
      <c r="F161" s="33">
        <v>0</v>
      </c>
      <c r="G161" s="34">
        <v>14</v>
      </c>
      <c r="H161" s="68" t="s">
        <v>59</v>
      </c>
      <c r="I161" s="79">
        <v>420</v>
      </c>
      <c r="J161" s="11" t="s">
        <v>147</v>
      </c>
      <c r="K161" s="6">
        <v>12.6</v>
      </c>
      <c r="L161" s="76">
        <v>14</v>
      </c>
      <c r="M161" s="12">
        <v>0</v>
      </c>
    </row>
    <row r="162" spans="1:17" hidden="1" x14ac:dyDescent="0.2">
      <c r="A162" s="54">
        <v>45887</v>
      </c>
      <c r="B162" s="91">
        <v>275</v>
      </c>
      <c r="C162" s="59" t="s">
        <v>170</v>
      </c>
      <c r="D162" s="59" t="s">
        <v>2</v>
      </c>
      <c r="E162" s="65">
        <v>30</v>
      </c>
      <c r="F162" s="33">
        <v>0</v>
      </c>
      <c r="G162" s="34">
        <v>14</v>
      </c>
      <c r="H162" s="68" t="s">
        <v>59</v>
      </c>
      <c r="I162" s="79">
        <v>420</v>
      </c>
      <c r="J162" s="11" t="s">
        <v>147</v>
      </c>
      <c r="K162" s="6">
        <v>12.6</v>
      </c>
      <c r="L162" s="76">
        <v>14</v>
      </c>
      <c r="M162" s="12">
        <v>0</v>
      </c>
    </row>
    <row r="163" spans="1:17" hidden="1" x14ac:dyDescent="0.2">
      <c r="A163" s="54">
        <v>45898</v>
      </c>
      <c r="B163" s="91">
        <v>292</v>
      </c>
      <c r="C163" s="59" t="s">
        <v>170</v>
      </c>
      <c r="D163" s="59" t="s">
        <v>2</v>
      </c>
      <c r="E163" s="65">
        <v>30</v>
      </c>
      <c r="F163" s="33">
        <v>0</v>
      </c>
      <c r="G163" s="34">
        <v>14</v>
      </c>
      <c r="H163" s="68" t="s">
        <v>59</v>
      </c>
      <c r="I163" s="79">
        <v>420</v>
      </c>
      <c r="J163" s="11" t="s">
        <v>147</v>
      </c>
      <c r="K163" s="6">
        <v>12.6</v>
      </c>
      <c r="L163" s="76">
        <v>14</v>
      </c>
      <c r="M163" s="12">
        <v>0</v>
      </c>
    </row>
    <row r="164" spans="1:17" hidden="1" x14ac:dyDescent="0.2">
      <c r="A164" s="54">
        <v>45872</v>
      </c>
      <c r="B164" s="91">
        <v>233</v>
      </c>
      <c r="C164" s="59" t="s">
        <v>170</v>
      </c>
      <c r="D164" s="59" t="s">
        <v>2</v>
      </c>
      <c r="E164" s="65">
        <v>30</v>
      </c>
      <c r="F164" s="33">
        <v>0</v>
      </c>
      <c r="G164" s="34">
        <v>14</v>
      </c>
      <c r="H164" s="68" t="s">
        <v>59</v>
      </c>
      <c r="I164" s="79">
        <v>420</v>
      </c>
      <c r="J164" s="11" t="s">
        <v>147</v>
      </c>
      <c r="K164" s="6">
        <v>12.6</v>
      </c>
      <c r="L164" s="76">
        <v>14</v>
      </c>
      <c r="M164" s="12">
        <v>0</v>
      </c>
    </row>
    <row r="165" spans="1:17" hidden="1" x14ac:dyDescent="0.2">
      <c r="A165" s="54">
        <v>45874</v>
      </c>
      <c r="B165" s="91">
        <v>240</v>
      </c>
      <c r="C165" s="59" t="s">
        <v>170</v>
      </c>
      <c r="D165" s="59" t="s">
        <v>2</v>
      </c>
      <c r="E165" s="65">
        <v>30</v>
      </c>
      <c r="F165" s="33">
        <v>0</v>
      </c>
      <c r="G165" s="34">
        <v>14</v>
      </c>
      <c r="H165" s="68" t="s">
        <v>59</v>
      </c>
      <c r="I165" s="79">
        <v>420</v>
      </c>
      <c r="J165" s="11" t="s">
        <v>147</v>
      </c>
      <c r="K165" s="6">
        <v>12.6</v>
      </c>
      <c r="L165" s="76">
        <v>14</v>
      </c>
      <c r="M165" s="12">
        <v>0</v>
      </c>
    </row>
    <row r="166" spans="1:17" ht="16" hidden="1" x14ac:dyDescent="0.2">
      <c r="A166" s="54">
        <v>45876</v>
      </c>
      <c r="B166" s="91">
        <v>251</v>
      </c>
      <c r="C166" s="59" t="s">
        <v>170</v>
      </c>
      <c r="D166" s="59" t="s">
        <v>154</v>
      </c>
      <c r="E166" s="65">
        <v>5</v>
      </c>
      <c r="F166" s="33">
        <v>0</v>
      </c>
      <c r="G166" s="34">
        <v>361.43</v>
      </c>
      <c r="H166" s="68" t="s">
        <v>59</v>
      </c>
      <c r="I166" s="80">
        <v>1807.15</v>
      </c>
      <c r="J166" s="11" t="s">
        <v>147</v>
      </c>
      <c r="K166" s="21">
        <v>325.28571428571399</v>
      </c>
      <c r="L166" s="76">
        <v>361.43</v>
      </c>
      <c r="M166" s="13">
        <f>I166*30%</f>
        <v>542.14499999999998</v>
      </c>
    </row>
    <row r="167" spans="1:17" ht="16" hidden="1" x14ac:dyDescent="0.2">
      <c r="A167" s="54">
        <v>45895</v>
      </c>
      <c r="B167" s="91">
        <v>287</v>
      </c>
      <c r="C167" s="59" t="s">
        <v>170</v>
      </c>
      <c r="D167" s="59" t="s">
        <v>12</v>
      </c>
      <c r="E167" s="65">
        <v>8</v>
      </c>
      <c r="F167" s="33">
        <v>0</v>
      </c>
      <c r="G167" s="34">
        <v>102.14</v>
      </c>
      <c r="H167" s="68" t="s">
        <v>59</v>
      </c>
      <c r="I167" s="79">
        <v>817.12</v>
      </c>
      <c r="J167" s="11" t="s">
        <v>147</v>
      </c>
      <c r="K167" s="19">
        <v>92.86</v>
      </c>
      <c r="L167" s="76">
        <v>102.14</v>
      </c>
      <c r="M167" s="13">
        <f t="shared" ref="M167:M171" si="23">I167*30%</f>
        <v>245.136</v>
      </c>
    </row>
    <row r="168" spans="1:17" ht="16" hidden="1" x14ac:dyDescent="0.2">
      <c r="A168" s="54">
        <v>45876</v>
      </c>
      <c r="B168" s="91">
        <v>251</v>
      </c>
      <c r="C168" s="59" t="s">
        <v>170</v>
      </c>
      <c r="D168" s="59" t="s">
        <v>12</v>
      </c>
      <c r="E168" s="65">
        <v>10</v>
      </c>
      <c r="F168" s="33">
        <v>0</v>
      </c>
      <c r="G168" s="34">
        <v>102.14</v>
      </c>
      <c r="H168" s="68" t="s">
        <v>59</v>
      </c>
      <c r="I168" s="80">
        <v>1021.4</v>
      </c>
      <c r="J168" s="11" t="s">
        <v>147</v>
      </c>
      <c r="K168" s="19">
        <v>92.86</v>
      </c>
      <c r="L168" s="76">
        <v>102.14</v>
      </c>
      <c r="M168" s="13">
        <f t="shared" si="23"/>
        <v>306.41999999999996</v>
      </c>
    </row>
    <row r="169" spans="1:17" ht="16" hidden="1" x14ac:dyDescent="0.2">
      <c r="A169" s="54">
        <v>45895</v>
      </c>
      <c r="B169" s="91">
        <v>287</v>
      </c>
      <c r="C169" s="59" t="s">
        <v>170</v>
      </c>
      <c r="D169" s="59" t="s">
        <v>12</v>
      </c>
      <c r="E169" s="65">
        <v>2</v>
      </c>
      <c r="F169" s="33">
        <v>0</v>
      </c>
      <c r="G169" s="34">
        <v>102.14</v>
      </c>
      <c r="H169" s="68" t="s">
        <v>59</v>
      </c>
      <c r="I169" s="79">
        <v>204.28</v>
      </c>
      <c r="J169" s="11" t="s">
        <v>147</v>
      </c>
      <c r="K169" s="19">
        <v>92.86</v>
      </c>
      <c r="L169" s="76">
        <v>102.14</v>
      </c>
      <c r="M169" s="13">
        <f t="shared" si="23"/>
        <v>61.283999999999999</v>
      </c>
    </row>
    <row r="170" spans="1:17" ht="16" hidden="1" x14ac:dyDescent="0.2">
      <c r="A170" s="54">
        <v>45873</v>
      </c>
      <c r="B170" s="91">
        <v>234</v>
      </c>
      <c r="C170" s="59" t="s">
        <v>170</v>
      </c>
      <c r="D170" s="59" t="s">
        <v>3</v>
      </c>
      <c r="E170" s="65">
        <v>6</v>
      </c>
      <c r="F170" s="33">
        <v>0</v>
      </c>
      <c r="G170" s="34">
        <v>155.71</v>
      </c>
      <c r="H170" s="68" t="s">
        <v>59</v>
      </c>
      <c r="I170" s="79">
        <v>934.26</v>
      </c>
      <c r="J170" s="11" t="s">
        <v>147</v>
      </c>
      <c r="K170" s="19">
        <v>140.13999999999999</v>
      </c>
      <c r="L170" s="76">
        <v>155.71</v>
      </c>
      <c r="M170" s="13">
        <f t="shared" si="23"/>
        <v>280.27799999999996</v>
      </c>
    </row>
    <row r="171" spans="1:17" ht="16" hidden="1" x14ac:dyDescent="0.2">
      <c r="A171" s="54">
        <v>45889</v>
      </c>
      <c r="B171" s="91">
        <v>7091</v>
      </c>
      <c r="C171" s="59" t="s">
        <v>158</v>
      </c>
      <c r="D171" s="59" t="s">
        <v>115</v>
      </c>
      <c r="E171" s="65">
        <v>5</v>
      </c>
      <c r="F171" s="33">
        <v>1</v>
      </c>
      <c r="G171" s="34">
        <v>157.80000000000001</v>
      </c>
      <c r="H171" s="72" t="s">
        <v>171</v>
      </c>
      <c r="I171" s="79">
        <v>789</v>
      </c>
      <c r="J171" s="11" t="s">
        <v>147</v>
      </c>
      <c r="K171" s="27">
        <v>141.43</v>
      </c>
      <c r="L171" s="84">
        <v>157.13999999999999</v>
      </c>
      <c r="M171" s="13">
        <f t="shared" si="23"/>
        <v>236.7</v>
      </c>
    </row>
    <row r="172" spans="1:17" hidden="1" x14ac:dyDescent="0.2">
      <c r="A172" s="54">
        <v>45897</v>
      </c>
      <c r="B172" s="91">
        <v>7638</v>
      </c>
      <c r="C172" s="59" t="s">
        <v>159</v>
      </c>
      <c r="D172" s="59" t="s">
        <v>155</v>
      </c>
      <c r="E172" s="65">
        <v>5</v>
      </c>
      <c r="F172" s="33">
        <v>1</v>
      </c>
      <c r="G172" s="34">
        <v>107.14</v>
      </c>
      <c r="H172" s="72" t="s">
        <v>143</v>
      </c>
      <c r="I172" s="79">
        <v>535.70000000000005</v>
      </c>
      <c r="J172" s="11" t="s">
        <v>147</v>
      </c>
      <c r="L172" s="84"/>
      <c r="M172" s="13">
        <f t="shared" ref="M172:M173" si="24">I172*30%</f>
        <v>160.71</v>
      </c>
    </row>
    <row r="173" spans="1:17" ht="16" hidden="1" x14ac:dyDescent="0.2">
      <c r="A173" s="54">
        <v>45887</v>
      </c>
      <c r="B173" s="91">
        <v>6981</v>
      </c>
      <c r="C173" s="59" t="s">
        <v>159</v>
      </c>
      <c r="D173" s="59" t="s">
        <v>115</v>
      </c>
      <c r="E173" s="65">
        <v>5</v>
      </c>
      <c r="F173" s="33">
        <v>1</v>
      </c>
      <c r="G173" s="34">
        <v>157.13999999999999</v>
      </c>
      <c r="H173" s="72" t="s">
        <v>143</v>
      </c>
      <c r="I173" s="79">
        <v>785.7</v>
      </c>
      <c r="J173" s="11" t="s">
        <v>147</v>
      </c>
      <c r="K173" s="27">
        <v>141.43</v>
      </c>
      <c r="L173" s="84">
        <v>157.13999999999999</v>
      </c>
      <c r="M173" s="13">
        <f t="shared" si="24"/>
        <v>235.71</v>
      </c>
    </row>
    <row r="174" spans="1:17" ht="16" hidden="1" x14ac:dyDescent="0.2">
      <c r="A174" s="54">
        <v>45897</v>
      </c>
      <c r="B174" s="91">
        <v>7634</v>
      </c>
      <c r="C174" s="59" t="s">
        <v>160</v>
      </c>
      <c r="D174" s="59" t="s">
        <v>7</v>
      </c>
      <c r="E174" s="65">
        <v>5</v>
      </c>
      <c r="F174" s="33">
        <v>1</v>
      </c>
      <c r="G174" s="34">
        <v>171.43</v>
      </c>
      <c r="H174" s="72" t="s">
        <v>173</v>
      </c>
      <c r="I174" s="79">
        <v>857.15</v>
      </c>
      <c r="J174" s="11" t="s">
        <v>147</v>
      </c>
      <c r="K174" s="19">
        <v>154.29</v>
      </c>
      <c r="L174" s="76">
        <v>171.43</v>
      </c>
      <c r="M174" s="13">
        <f t="shared" ref="M174:M175" si="25">I174*30%</f>
        <v>257.14499999999998</v>
      </c>
    </row>
    <row r="175" spans="1:17" hidden="1" x14ac:dyDescent="0.2">
      <c r="A175" s="54">
        <v>45897</v>
      </c>
      <c r="B175" s="91">
        <v>7634</v>
      </c>
      <c r="C175" s="59" t="s">
        <v>160</v>
      </c>
      <c r="D175" s="59" t="s">
        <v>11</v>
      </c>
      <c r="E175" s="65">
        <v>5</v>
      </c>
      <c r="F175" s="33">
        <v>1</v>
      </c>
      <c r="G175" s="34">
        <v>50</v>
      </c>
      <c r="H175" s="72" t="s">
        <v>173</v>
      </c>
      <c r="I175" s="79">
        <v>250</v>
      </c>
      <c r="J175" s="11" t="s">
        <v>147</v>
      </c>
      <c r="K175" s="6">
        <v>45</v>
      </c>
      <c r="L175" s="76">
        <v>50</v>
      </c>
      <c r="M175" s="13">
        <f t="shared" si="25"/>
        <v>75</v>
      </c>
      <c r="Q175" s="6">
        <v>4.55</v>
      </c>
    </row>
    <row r="176" spans="1:17" ht="16" hidden="1" x14ac:dyDescent="0.2">
      <c r="A176" s="54">
        <v>45890</v>
      </c>
      <c r="B176" s="91">
        <v>7156</v>
      </c>
      <c r="C176" s="59" t="s">
        <v>161</v>
      </c>
      <c r="D176" s="59" t="s">
        <v>7</v>
      </c>
      <c r="E176" s="65">
        <v>1</v>
      </c>
      <c r="F176" s="33">
        <v>0</v>
      </c>
      <c r="G176" s="34">
        <v>171.43</v>
      </c>
      <c r="H176" s="69" t="s">
        <v>60</v>
      </c>
      <c r="I176" s="79">
        <v>171.43</v>
      </c>
      <c r="J176" s="11" t="s">
        <v>147</v>
      </c>
      <c r="K176" s="19">
        <v>154.29</v>
      </c>
      <c r="L176" s="76">
        <v>171.43</v>
      </c>
      <c r="M176" s="13">
        <v>0</v>
      </c>
    </row>
    <row r="177" spans="1:17" ht="16" hidden="1" x14ac:dyDescent="0.2">
      <c r="A177" s="54">
        <v>45890</v>
      </c>
      <c r="B177" s="91">
        <v>7156</v>
      </c>
      <c r="C177" s="59" t="s">
        <v>161</v>
      </c>
      <c r="D177" s="59" t="s">
        <v>7</v>
      </c>
      <c r="E177" s="65">
        <v>1</v>
      </c>
      <c r="F177" s="33">
        <v>0</v>
      </c>
      <c r="G177" s="34">
        <v>171.43</v>
      </c>
      <c r="H177" s="69" t="s">
        <v>60</v>
      </c>
      <c r="I177" s="79">
        <v>171.43</v>
      </c>
      <c r="J177" s="11" t="s">
        <v>147</v>
      </c>
      <c r="K177" s="19">
        <v>154.29</v>
      </c>
      <c r="L177" s="76">
        <v>171.43</v>
      </c>
      <c r="M177" s="13">
        <v>0</v>
      </c>
    </row>
    <row r="178" spans="1:17" ht="16" hidden="1" x14ac:dyDescent="0.2">
      <c r="A178" s="54">
        <v>45890</v>
      </c>
      <c r="B178" s="91">
        <v>7156</v>
      </c>
      <c r="C178" s="59" t="s">
        <v>161</v>
      </c>
      <c r="D178" s="59" t="s">
        <v>94</v>
      </c>
      <c r="E178" s="65">
        <v>3</v>
      </c>
      <c r="F178" s="33">
        <v>0</v>
      </c>
      <c r="G178" s="34">
        <v>146.31</v>
      </c>
      <c r="H178" s="69" t="s">
        <v>60</v>
      </c>
      <c r="I178" s="79">
        <v>438.93</v>
      </c>
      <c r="J178" s="11" t="s">
        <v>147</v>
      </c>
      <c r="K178" s="27">
        <v>131.68</v>
      </c>
      <c r="L178" s="84">
        <v>146.31</v>
      </c>
      <c r="M178" s="13">
        <f t="shared" ref="M178:M180" si="26">I178*30%</f>
        <v>131.679</v>
      </c>
      <c r="Q178" s="6">
        <v>47.5</v>
      </c>
    </row>
    <row r="179" spans="1:17" ht="16" hidden="1" x14ac:dyDescent="0.2">
      <c r="A179" s="54">
        <v>45890</v>
      </c>
      <c r="B179" s="91">
        <v>7156</v>
      </c>
      <c r="C179" s="59" t="s">
        <v>161</v>
      </c>
      <c r="D179" s="59" t="s">
        <v>115</v>
      </c>
      <c r="E179" s="65">
        <v>1</v>
      </c>
      <c r="F179" s="33">
        <v>0</v>
      </c>
      <c r="G179" s="34">
        <v>157.13999999999999</v>
      </c>
      <c r="H179" s="69" t="s">
        <v>60</v>
      </c>
      <c r="I179" s="79">
        <v>157.13999999999999</v>
      </c>
      <c r="J179" s="11" t="s">
        <v>147</v>
      </c>
      <c r="K179" s="27">
        <v>141.43</v>
      </c>
      <c r="L179" s="84">
        <v>157.13999999999999</v>
      </c>
      <c r="M179" s="13">
        <f t="shared" si="26"/>
        <v>47.141999999999996</v>
      </c>
    </row>
    <row r="180" spans="1:17" ht="16" hidden="1" x14ac:dyDescent="0.2">
      <c r="A180" s="54">
        <v>45890</v>
      </c>
      <c r="B180" s="91">
        <v>7156</v>
      </c>
      <c r="C180" s="59" t="s">
        <v>161</v>
      </c>
      <c r="D180" s="59" t="s">
        <v>115</v>
      </c>
      <c r="E180" s="65">
        <v>1</v>
      </c>
      <c r="F180" s="33">
        <v>0</v>
      </c>
      <c r="G180" s="34">
        <v>157.13999999999999</v>
      </c>
      <c r="H180" s="69" t="s">
        <v>60</v>
      </c>
      <c r="I180" s="79">
        <v>157.13999999999999</v>
      </c>
      <c r="J180" s="11" t="s">
        <v>147</v>
      </c>
      <c r="K180" s="27">
        <v>141.43</v>
      </c>
      <c r="L180" s="84">
        <v>157.13999999999999</v>
      </c>
      <c r="M180" s="13">
        <f t="shared" si="26"/>
        <v>47.141999999999996</v>
      </c>
    </row>
    <row r="181" spans="1:17" ht="16" hidden="1" x14ac:dyDescent="0.2">
      <c r="A181" s="54">
        <v>45880</v>
      </c>
      <c r="B181" s="91">
        <v>6565</v>
      </c>
      <c r="C181" s="59" t="s">
        <v>162</v>
      </c>
      <c r="D181" s="59" t="s">
        <v>94</v>
      </c>
      <c r="E181" s="65">
        <v>3</v>
      </c>
      <c r="F181" s="33">
        <v>0</v>
      </c>
      <c r="G181" s="34">
        <v>146.31</v>
      </c>
      <c r="H181" s="72" t="s">
        <v>143</v>
      </c>
      <c r="I181" s="79">
        <v>438.93</v>
      </c>
      <c r="J181" s="11" t="s">
        <v>147</v>
      </c>
      <c r="K181" s="27">
        <v>131.68</v>
      </c>
      <c r="L181" s="84">
        <v>146.31</v>
      </c>
      <c r="M181" s="13">
        <f>I181*40%</f>
        <v>175.572</v>
      </c>
      <c r="Q181" s="6">
        <v>47.5</v>
      </c>
    </row>
    <row r="182" spans="1:17" ht="16" hidden="1" x14ac:dyDescent="0.2">
      <c r="A182" s="54">
        <v>45887</v>
      </c>
      <c r="B182" s="91">
        <v>6978</v>
      </c>
      <c r="C182" s="59" t="s">
        <v>162</v>
      </c>
      <c r="D182" s="59" t="s">
        <v>94</v>
      </c>
      <c r="E182" s="65">
        <v>4</v>
      </c>
      <c r="F182" s="33">
        <v>0</v>
      </c>
      <c r="G182" s="34">
        <v>146.31</v>
      </c>
      <c r="H182" s="72" t="s">
        <v>143</v>
      </c>
      <c r="I182" s="79">
        <v>585.24</v>
      </c>
      <c r="J182" s="11" t="s">
        <v>147</v>
      </c>
      <c r="K182" s="27">
        <v>131.68</v>
      </c>
      <c r="L182" s="84">
        <v>146.31</v>
      </c>
      <c r="M182" s="13">
        <f t="shared" ref="M182:M189" si="27">I182*40%</f>
        <v>234.096</v>
      </c>
      <c r="Q182" s="6">
        <v>47.5</v>
      </c>
    </row>
    <row r="183" spans="1:17" ht="16" hidden="1" x14ac:dyDescent="0.2">
      <c r="A183" s="54">
        <v>45880</v>
      </c>
      <c r="B183" s="91">
        <v>6565</v>
      </c>
      <c r="C183" s="59" t="s">
        <v>162</v>
      </c>
      <c r="D183" s="59" t="s">
        <v>154</v>
      </c>
      <c r="E183" s="65">
        <v>3</v>
      </c>
      <c r="F183" s="33">
        <v>0</v>
      </c>
      <c r="G183" s="34">
        <v>361.43</v>
      </c>
      <c r="H183" s="72" t="s">
        <v>143</v>
      </c>
      <c r="I183" s="80">
        <v>1084.29</v>
      </c>
      <c r="J183" s="11" t="s">
        <v>147</v>
      </c>
      <c r="K183" s="21">
        <v>325.28571428571399</v>
      </c>
      <c r="L183" s="76">
        <v>361.43</v>
      </c>
      <c r="M183" s="13">
        <f t="shared" si="27"/>
        <v>433.71600000000001</v>
      </c>
    </row>
    <row r="184" spans="1:17" ht="16" hidden="1" x14ac:dyDescent="0.2">
      <c r="A184" s="54">
        <v>45883</v>
      </c>
      <c r="B184" s="91">
        <v>6780</v>
      </c>
      <c r="C184" s="59" t="s">
        <v>162</v>
      </c>
      <c r="D184" s="59" t="s">
        <v>154</v>
      </c>
      <c r="E184" s="65">
        <v>3</v>
      </c>
      <c r="F184" s="33">
        <v>0</v>
      </c>
      <c r="G184" s="34">
        <v>361.43</v>
      </c>
      <c r="H184" s="72" t="s">
        <v>143</v>
      </c>
      <c r="I184" s="80">
        <v>1084.29</v>
      </c>
      <c r="J184" s="11" t="s">
        <v>147</v>
      </c>
      <c r="K184" s="21">
        <v>325.28571428571399</v>
      </c>
      <c r="L184" s="76">
        <v>361.43</v>
      </c>
      <c r="M184" s="13">
        <f t="shared" si="27"/>
        <v>433.71600000000001</v>
      </c>
    </row>
    <row r="185" spans="1:17" ht="16" hidden="1" x14ac:dyDescent="0.2">
      <c r="A185" s="54">
        <v>45887</v>
      </c>
      <c r="B185" s="91">
        <v>6978</v>
      </c>
      <c r="C185" s="59" t="s">
        <v>162</v>
      </c>
      <c r="D185" s="59" t="s">
        <v>154</v>
      </c>
      <c r="E185" s="65">
        <v>3</v>
      </c>
      <c r="F185" s="33">
        <v>0</v>
      </c>
      <c r="G185" s="34">
        <v>361.43</v>
      </c>
      <c r="H185" s="72" t="s">
        <v>143</v>
      </c>
      <c r="I185" s="80">
        <v>1084.29</v>
      </c>
      <c r="J185" s="11" t="s">
        <v>147</v>
      </c>
      <c r="K185" s="21">
        <v>325.28571428571399</v>
      </c>
      <c r="L185" s="76">
        <v>361.43</v>
      </c>
      <c r="M185" s="13">
        <f t="shared" si="27"/>
        <v>433.71600000000001</v>
      </c>
    </row>
    <row r="186" spans="1:17" hidden="1" x14ac:dyDescent="0.2">
      <c r="A186" s="54">
        <v>45880</v>
      </c>
      <c r="B186" s="91">
        <v>6565</v>
      </c>
      <c r="C186" s="59" t="s">
        <v>162</v>
      </c>
      <c r="D186" s="59" t="s">
        <v>11</v>
      </c>
      <c r="E186" s="65">
        <v>3</v>
      </c>
      <c r="F186" s="33">
        <v>0</v>
      </c>
      <c r="G186" s="34">
        <v>50</v>
      </c>
      <c r="H186" s="72" t="s">
        <v>143</v>
      </c>
      <c r="I186" s="79">
        <v>150</v>
      </c>
      <c r="J186" s="11" t="s">
        <v>147</v>
      </c>
      <c r="K186" s="6">
        <v>45</v>
      </c>
      <c r="L186" s="76">
        <v>50</v>
      </c>
      <c r="M186" s="13">
        <f t="shared" si="27"/>
        <v>60</v>
      </c>
      <c r="Q186" s="6">
        <v>4.55</v>
      </c>
    </row>
    <row r="187" spans="1:17" ht="16" hidden="1" x14ac:dyDescent="0.2">
      <c r="A187" s="54">
        <v>45880</v>
      </c>
      <c r="B187" s="91">
        <v>6565</v>
      </c>
      <c r="C187" s="59" t="s">
        <v>162</v>
      </c>
      <c r="D187" s="59" t="s">
        <v>12</v>
      </c>
      <c r="E187" s="65">
        <v>3</v>
      </c>
      <c r="F187" s="33">
        <v>0</v>
      </c>
      <c r="G187" s="34">
        <v>102.14</v>
      </c>
      <c r="H187" s="72" t="s">
        <v>143</v>
      </c>
      <c r="I187" s="79">
        <v>306.42</v>
      </c>
      <c r="J187" s="11" t="s">
        <v>147</v>
      </c>
      <c r="K187" s="19">
        <v>92.86</v>
      </c>
      <c r="L187" s="76">
        <v>102.14</v>
      </c>
      <c r="M187" s="13">
        <f t="shared" si="27"/>
        <v>122.56800000000001</v>
      </c>
    </row>
    <row r="188" spans="1:17" ht="16" hidden="1" x14ac:dyDescent="0.2">
      <c r="A188" s="54">
        <v>45887</v>
      </c>
      <c r="B188" s="91">
        <v>6978</v>
      </c>
      <c r="C188" s="59" t="s">
        <v>162</v>
      </c>
      <c r="D188" s="59" t="s">
        <v>12</v>
      </c>
      <c r="E188" s="65">
        <v>6</v>
      </c>
      <c r="F188" s="33">
        <v>0</v>
      </c>
      <c r="G188" s="34">
        <v>102.14</v>
      </c>
      <c r="H188" s="72" t="s">
        <v>143</v>
      </c>
      <c r="I188" s="79">
        <v>612.84</v>
      </c>
      <c r="J188" s="11" t="s">
        <v>147</v>
      </c>
      <c r="K188" s="19">
        <v>92.86</v>
      </c>
      <c r="L188" s="76">
        <v>102.14</v>
      </c>
      <c r="M188" s="13">
        <f t="shared" si="27"/>
        <v>245.13600000000002</v>
      </c>
    </row>
    <row r="189" spans="1:17" ht="16" hidden="1" x14ac:dyDescent="0.2">
      <c r="A189" s="54">
        <v>45883</v>
      </c>
      <c r="B189" s="91">
        <v>6780</v>
      </c>
      <c r="C189" s="59" t="s">
        <v>162</v>
      </c>
      <c r="D189" s="59" t="s">
        <v>12</v>
      </c>
      <c r="E189" s="65">
        <v>4</v>
      </c>
      <c r="F189" s="33">
        <v>0</v>
      </c>
      <c r="G189" s="34">
        <v>102.14</v>
      </c>
      <c r="H189" s="72" t="s">
        <v>143</v>
      </c>
      <c r="I189" s="79">
        <v>408.56</v>
      </c>
      <c r="J189" s="11" t="s">
        <v>147</v>
      </c>
      <c r="K189" s="19">
        <v>92.86</v>
      </c>
      <c r="L189" s="76">
        <v>102.14</v>
      </c>
      <c r="M189" s="13">
        <f t="shared" si="27"/>
        <v>163.42400000000001</v>
      </c>
    </row>
    <row r="190" spans="1:17" ht="16" hidden="1" x14ac:dyDescent="0.2">
      <c r="A190" s="54">
        <v>45897</v>
      </c>
      <c r="B190" s="91">
        <v>7635</v>
      </c>
      <c r="C190" s="59" t="s">
        <v>163</v>
      </c>
      <c r="D190" s="59" t="s">
        <v>94</v>
      </c>
      <c r="E190" s="65">
        <v>10</v>
      </c>
      <c r="F190" s="33">
        <v>1</v>
      </c>
      <c r="G190" s="34">
        <v>146.31</v>
      </c>
      <c r="H190" s="72" t="s">
        <v>173</v>
      </c>
      <c r="I190" s="80">
        <v>1463.1</v>
      </c>
      <c r="J190" s="11" t="s">
        <v>147</v>
      </c>
      <c r="K190" s="27">
        <v>131.68</v>
      </c>
      <c r="L190" s="84">
        <v>146.31</v>
      </c>
      <c r="M190" s="13">
        <f t="shared" ref="M190:M191" si="28">I190*30%</f>
        <v>438.92999999999995</v>
      </c>
      <c r="Q190" s="6">
        <v>47.5</v>
      </c>
    </row>
    <row r="191" spans="1:17" ht="16" hidden="1" x14ac:dyDescent="0.2">
      <c r="A191" s="54">
        <v>45897</v>
      </c>
      <c r="B191" s="91">
        <v>7635</v>
      </c>
      <c r="C191" s="59" t="s">
        <v>163</v>
      </c>
      <c r="D191" s="59" t="s">
        <v>8</v>
      </c>
      <c r="E191" s="65">
        <v>10</v>
      </c>
      <c r="F191" s="33">
        <v>1</v>
      </c>
      <c r="G191" s="34">
        <v>196.43</v>
      </c>
      <c r="H191" s="72" t="s">
        <v>173</v>
      </c>
      <c r="I191" s="80">
        <v>1964.3</v>
      </c>
      <c r="J191" s="11" t="s">
        <v>147</v>
      </c>
      <c r="K191" s="21">
        <v>176.79</v>
      </c>
      <c r="L191" s="76">
        <v>196.43</v>
      </c>
      <c r="M191" s="13">
        <f t="shared" si="28"/>
        <v>589.29</v>
      </c>
      <c r="Q191" s="22">
        <v>10.8</v>
      </c>
    </row>
    <row r="192" spans="1:17" hidden="1" x14ac:dyDescent="0.2">
      <c r="A192" s="54">
        <v>45891</v>
      </c>
      <c r="B192" s="91">
        <v>7213</v>
      </c>
      <c r="C192" s="59" t="s">
        <v>110</v>
      </c>
      <c r="D192" s="59" t="s">
        <v>2</v>
      </c>
      <c r="E192" s="65">
        <v>10</v>
      </c>
      <c r="F192" s="33">
        <v>0</v>
      </c>
      <c r="G192" s="34">
        <v>15.12</v>
      </c>
      <c r="I192" s="79">
        <v>151.19999999999999</v>
      </c>
      <c r="J192" s="11" t="s">
        <v>147</v>
      </c>
      <c r="K192" s="6">
        <v>12.6</v>
      </c>
      <c r="L192" s="76">
        <v>14</v>
      </c>
      <c r="M192" s="12">
        <v>0</v>
      </c>
    </row>
    <row r="193" spans="1:17" hidden="1" x14ac:dyDescent="0.2">
      <c r="A193" s="54">
        <v>45889</v>
      </c>
      <c r="B193" s="91">
        <v>7074</v>
      </c>
      <c r="C193" s="59" t="s">
        <v>110</v>
      </c>
      <c r="D193" s="59" t="s">
        <v>2</v>
      </c>
      <c r="E193" s="65">
        <v>10</v>
      </c>
      <c r="F193" s="33">
        <v>0</v>
      </c>
      <c r="G193" s="34">
        <v>15.12</v>
      </c>
      <c r="I193" s="79">
        <v>151.19999999999999</v>
      </c>
      <c r="J193" s="11" t="s">
        <v>147</v>
      </c>
      <c r="K193" s="6">
        <v>12.6</v>
      </c>
      <c r="L193" s="76">
        <v>14</v>
      </c>
      <c r="M193" s="12">
        <v>0</v>
      </c>
    </row>
    <row r="194" spans="1:17" hidden="1" x14ac:dyDescent="0.2">
      <c r="A194" s="54">
        <v>45892</v>
      </c>
      <c r="B194" s="91">
        <v>7303</v>
      </c>
      <c r="C194" s="59" t="s">
        <v>110</v>
      </c>
      <c r="D194" s="59" t="s">
        <v>2</v>
      </c>
      <c r="E194" s="65">
        <v>10</v>
      </c>
      <c r="F194" s="33">
        <v>0</v>
      </c>
      <c r="G194" s="34">
        <v>15.12</v>
      </c>
      <c r="I194" s="79">
        <v>151.19999999999999</v>
      </c>
      <c r="J194" s="11" t="s">
        <v>147</v>
      </c>
      <c r="K194" s="6">
        <v>12.6</v>
      </c>
      <c r="L194" s="76">
        <v>14</v>
      </c>
      <c r="M194" s="12">
        <v>0</v>
      </c>
    </row>
    <row r="195" spans="1:17" hidden="1" x14ac:dyDescent="0.2">
      <c r="A195" s="54">
        <v>45885</v>
      </c>
      <c r="B195" s="91">
        <v>6844</v>
      </c>
      <c r="C195" s="59" t="s">
        <v>110</v>
      </c>
      <c r="D195" s="59" t="s">
        <v>2</v>
      </c>
      <c r="E195" s="65">
        <v>15</v>
      </c>
      <c r="F195" s="33">
        <v>0</v>
      </c>
      <c r="G195" s="34">
        <v>15.12</v>
      </c>
      <c r="I195" s="79">
        <v>226.8</v>
      </c>
      <c r="J195" s="11" t="s">
        <v>147</v>
      </c>
      <c r="K195" s="6">
        <v>12.6</v>
      </c>
      <c r="L195" s="76">
        <v>14</v>
      </c>
      <c r="M195" s="12">
        <v>0</v>
      </c>
    </row>
    <row r="196" spans="1:17" ht="16" hidden="1" x14ac:dyDescent="0.2">
      <c r="A196" s="54">
        <v>45897</v>
      </c>
      <c r="B196" s="91">
        <v>7607</v>
      </c>
      <c r="C196" s="59" t="s">
        <v>164</v>
      </c>
      <c r="D196" s="59" t="s">
        <v>8</v>
      </c>
      <c r="E196" s="65">
        <v>10</v>
      </c>
      <c r="F196" s="33">
        <v>1</v>
      </c>
      <c r="G196" s="34">
        <v>196.43</v>
      </c>
      <c r="H196" s="72" t="s">
        <v>174</v>
      </c>
      <c r="I196" s="80">
        <v>1964.3</v>
      </c>
      <c r="J196" s="11" t="s">
        <v>147</v>
      </c>
      <c r="K196" s="21">
        <v>176.79</v>
      </c>
      <c r="L196" s="76">
        <v>196.43</v>
      </c>
      <c r="M196" s="13">
        <f t="shared" ref="M196:M197" si="29">I196*30%</f>
        <v>589.29</v>
      </c>
      <c r="Q196" s="22">
        <v>10.8</v>
      </c>
    </row>
    <row r="197" spans="1:17" ht="16" hidden="1" x14ac:dyDescent="0.2">
      <c r="A197" s="54">
        <v>45897</v>
      </c>
      <c r="B197" s="91">
        <v>7607</v>
      </c>
      <c r="C197" s="59" t="s">
        <v>164</v>
      </c>
      <c r="D197" s="59" t="s">
        <v>10</v>
      </c>
      <c r="E197" s="65">
        <v>10</v>
      </c>
      <c r="F197" s="33">
        <v>1</v>
      </c>
      <c r="G197" s="34">
        <v>77.86</v>
      </c>
      <c r="H197" s="72" t="s">
        <v>174</v>
      </c>
      <c r="I197" s="79">
        <v>778.6</v>
      </c>
      <c r="J197" s="11" t="s">
        <v>147</v>
      </c>
      <c r="K197" s="21">
        <v>69.290000000000006</v>
      </c>
      <c r="L197" s="76">
        <v>77.86</v>
      </c>
      <c r="M197" s="12">
        <f t="shared" si="29"/>
        <v>233.57999999999998</v>
      </c>
      <c r="Q197" s="6">
        <v>30</v>
      </c>
    </row>
    <row r="198" spans="1:17" ht="16" hidden="1" x14ac:dyDescent="0.2">
      <c r="A198" s="54">
        <v>45898</v>
      </c>
      <c r="B198" s="91">
        <v>7690</v>
      </c>
      <c r="C198" s="59" t="s">
        <v>164</v>
      </c>
      <c r="D198" s="59" t="s">
        <v>94</v>
      </c>
      <c r="E198" s="65">
        <v>10</v>
      </c>
      <c r="F198" s="33">
        <v>0</v>
      </c>
      <c r="G198" s="34">
        <v>146.31</v>
      </c>
      <c r="H198" s="72" t="s">
        <v>174</v>
      </c>
      <c r="I198" s="80">
        <v>1463.1</v>
      </c>
      <c r="J198" s="11" t="s">
        <v>147</v>
      </c>
      <c r="K198" s="27">
        <v>131.68</v>
      </c>
      <c r="L198" s="84">
        <v>146.31</v>
      </c>
      <c r="M198" s="13">
        <f t="shared" ref="M198:M199" si="30">I198*30%</f>
        <v>438.92999999999995</v>
      </c>
      <c r="Q198" s="6">
        <v>47.5</v>
      </c>
    </row>
    <row r="199" spans="1:17" ht="16" hidden="1" x14ac:dyDescent="0.2">
      <c r="A199" s="54">
        <v>45890</v>
      </c>
      <c r="B199" s="91">
        <v>7200</v>
      </c>
      <c r="C199" s="59" t="s">
        <v>164</v>
      </c>
      <c r="D199" s="59" t="s">
        <v>94</v>
      </c>
      <c r="E199" s="65">
        <v>10</v>
      </c>
      <c r="F199" s="33">
        <v>0</v>
      </c>
      <c r="G199" s="34">
        <v>146.31</v>
      </c>
      <c r="H199" s="72" t="s">
        <v>174</v>
      </c>
      <c r="I199" s="80">
        <v>1463.1</v>
      </c>
      <c r="J199" s="11" t="s">
        <v>147</v>
      </c>
      <c r="K199" s="27">
        <v>131.68</v>
      </c>
      <c r="L199" s="84">
        <v>146.31</v>
      </c>
      <c r="M199" s="13">
        <f t="shared" si="30"/>
        <v>438.92999999999995</v>
      </c>
      <c r="Q199" s="6">
        <v>47.5</v>
      </c>
    </row>
    <row r="200" spans="1:17" ht="16" hidden="1" x14ac:dyDescent="0.2">
      <c r="A200" s="54">
        <v>45890</v>
      </c>
      <c r="B200" s="91">
        <v>7200</v>
      </c>
      <c r="C200" s="59" t="s">
        <v>164</v>
      </c>
      <c r="D200" s="59" t="s">
        <v>154</v>
      </c>
      <c r="E200" s="65">
        <v>10</v>
      </c>
      <c r="F200" s="33">
        <v>1</v>
      </c>
      <c r="G200" s="34">
        <v>361.43</v>
      </c>
      <c r="H200" s="72" t="s">
        <v>174</v>
      </c>
      <c r="I200" s="80">
        <v>3614.3</v>
      </c>
      <c r="J200" s="11" t="s">
        <v>147</v>
      </c>
      <c r="K200" s="21">
        <v>325.28571428571399</v>
      </c>
      <c r="L200" s="76">
        <v>361.43</v>
      </c>
      <c r="M200" s="13">
        <f>I200*30%</f>
        <v>1084.29</v>
      </c>
    </row>
    <row r="201" spans="1:17" ht="16" hidden="1" x14ac:dyDescent="0.2">
      <c r="A201" s="54">
        <v>45898</v>
      </c>
      <c r="B201" s="91">
        <v>7690</v>
      </c>
      <c r="C201" s="59" t="s">
        <v>164</v>
      </c>
      <c r="D201" s="59" t="s">
        <v>12</v>
      </c>
      <c r="E201" s="65">
        <v>10</v>
      </c>
      <c r="F201" s="33">
        <v>1</v>
      </c>
      <c r="G201" s="34">
        <v>102.14</v>
      </c>
      <c r="H201" s="72" t="s">
        <v>174</v>
      </c>
      <c r="I201" s="80">
        <v>1021.4</v>
      </c>
      <c r="J201" s="11" t="s">
        <v>147</v>
      </c>
      <c r="K201" s="19">
        <v>92.86</v>
      </c>
      <c r="L201" s="76">
        <v>102.14</v>
      </c>
      <c r="M201" s="13">
        <f t="shared" ref="M201:M207" si="31">I201*30%</f>
        <v>306.41999999999996</v>
      </c>
    </row>
    <row r="202" spans="1:17" ht="16" hidden="1" x14ac:dyDescent="0.2">
      <c r="A202" s="54">
        <v>45890</v>
      </c>
      <c r="B202" s="91">
        <v>7200</v>
      </c>
      <c r="C202" s="59" t="s">
        <v>164</v>
      </c>
      <c r="D202" s="59" t="s">
        <v>12</v>
      </c>
      <c r="E202" s="65">
        <v>6</v>
      </c>
      <c r="F202" s="33">
        <v>0</v>
      </c>
      <c r="G202" s="34">
        <v>102.14</v>
      </c>
      <c r="H202" s="72" t="s">
        <v>174</v>
      </c>
      <c r="I202" s="79">
        <v>612.84</v>
      </c>
      <c r="J202" s="11" t="s">
        <v>147</v>
      </c>
      <c r="K202" s="19">
        <v>92.86</v>
      </c>
      <c r="L202" s="76">
        <v>102.14</v>
      </c>
      <c r="M202" s="13">
        <f t="shared" si="31"/>
        <v>183.852</v>
      </c>
    </row>
    <row r="203" spans="1:17" ht="16" hidden="1" x14ac:dyDescent="0.2">
      <c r="A203" s="54">
        <v>45890</v>
      </c>
      <c r="B203" s="91">
        <v>7200</v>
      </c>
      <c r="C203" s="59" t="s">
        <v>164</v>
      </c>
      <c r="D203" s="59" t="s">
        <v>12</v>
      </c>
      <c r="E203" s="65">
        <v>4</v>
      </c>
      <c r="F203" s="33">
        <v>0</v>
      </c>
      <c r="G203" s="34">
        <v>102.14</v>
      </c>
      <c r="H203" s="72" t="s">
        <v>174</v>
      </c>
      <c r="I203" s="79">
        <v>408.56</v>
      </c>
      <c r="J203" s="11" t="s">
        <v>147</v>
      </c>
      <c r="K203" s="19">
        <v>92.86</v>
      </c>
      <c r="L203" s="76">
        <v>102.14</v>
      </c>
      <c r="M203" s="13">
        <f t="shared" si="31"/>
        <v>122.568</v>
      </c>
    </row>
    <row r="204" spans="1:17" ht="16" hidden="1" x14ac:dyDescent="0.2">
      <c r="A204" s="54">
        <v>45890</v>
      </c>
      <c r="B204" s="91">
        <v>7200</v>
      </c>
      <c r="C204" s="59" t="s">
        <v>164</v>
      </c>
      <c r="D204" s="59" t="s">
        <v>12</v>
      </c>
      <c r="E204" s="65">
        <v>1</v>
      </c>
      <c r="F204" s="33">
        <v>0</v>
      </c>
      <c r="G204" s="34">
        <v>1</v>
      </c>
      <c r="H204" s="72" t="s">
        <v>174</v>
      </c>
      <c r="I204" s="79">
        <v>1</v>
      </c>
      <c r="J204" s="11" t="s">
        <v>147</v>
      </c>
      <c r="K204" s="19">
        <v>92.86</v>
      </c>
      <c r="L204" s="76">
        <v>102.14</v>
      </c>
      <c r="M204" s="13">
        <f t="shared" si="31"/>
        <v>0.3</v>
      </c>
    </row>
    <row r="205" spans="1:17" ht="16" hidden="1" x14ac:dyDescent="0.2">
      <c r="A205" s="54">
        <v>45892</v>
      </c>
      <c r="B205" s="91">
        <v>7343</v>
      </c>
      <c r="C205" s="59" t="s">
        <v>164</v>
      </c>
      <c r="D205" s="59" t="s">
        <v>12</v>
      </c>
      <c r="E205" s="65">
        <v>8</v>
      </c>
      <c r="F205" s="33">
        <v>0</v>
      </c>
      <c r="G205" s="34">
        <v>102.14</v>
      </c>
      <c r="H205" s="72" t="s">
        <v>174</v>
      </c>
      <c r="I205" s="79">
        <v>817.12</v>
      </c>
      <c r="J205" s="11" t="s">
        <v>147</v>
      </c>
      <c r="K205" s="19">
        <v>92.86</v>
      </c>
      <c r="L205" s="76">
        <v>102.14</v>
      </c>
      <c r="M205" s="13">
        <f t="shared" si="31"/>
        <v>245.136</v>
      </c>
    </row>
    <row r="206" spans="1:17" ht="16" hidden="1" x14ac:dyDescent="0.2">
      <c r="A206" s="54">
        <v>45892</v>
      </c>
      <c r="B206" s="91">
        <v>7343</v>
      </c>
      <c r="C206" s="59" t="s">
        <v>164</v>
      </c>
      <c r="D206" s="59" t="s">
        <v>12</v>
      </c>
      <c r="E206" s="65">
        <v>2</v>
      </c>
      <c r="F206" s="33">
        <v>0</v>
      </c>
      <c r="G206" s="34">
        <v>102.14</v>
      </c>
      <c r="H206" s="72" t="s">
        <v>174</v>
      </c>
      <c r="I206" s="79">
        <v>204.28</v>
      </c>
      <c r="J206" s="11" t="s">
        <v>147</v>
      </c>
      <c r="K206" s="19">
        <v>92.86</v>
      </c>
      <c r="L206" s="76">
        <v>102.14</v>
      </c>
      <c r="M206" s="13">
        <f t="shared" si="31"/>
        <v>61.283999999999999</v>
      </c>
    </row>
    <row r="207" spans="1:17" ht="16" hidden="1" x14ac:dyDescent="0.2">
      <c r="A207" s="54">
        <v>45892</v>
      </c>
      <c r="B207" s="91">
        <v>7343</v>
      </c>
      <c r="C207" s="59" t="s">
        <v>164</v>
      </c>
      <c r="D207" s="59" t="s">
        <v>12</v>
      </c>
      <c r="E207" s="65">
        <v>1</v>
      </c>
      <c r="F207" s="33">
        <v>0</v>
      </c>
      <c r="G207" s="34">
        <v>1</v>
      </c>
      <c r="H207" s="72" t="s">
        <v>174</v>
      </c>
      <c r="I207" s="79">
        <v>1</v>
      </c>
      <c r="J207" s="11" t="s">
        <v>147</v>
      </c>
      <c r="K207" s="19">
        <v>92.86</v>
      </c>
      <c r="L207" s="76">
        <v>102.14</v>
      </c>
      <c r="M207" s="13">
        <f t="shared" si="31"/>
        <v>0.3</v>
      </c>
    </row>
    <row r="208" spans="1:17" ht="16" hidden="1" x14ac:dyDescent="0.2">
      <c r="A208" s="54">
        <v>45887</v>
      </c>
      <c r="B208" s="91">
        <v>6980</v>
      </c>
      <c r="C208" s="59" t="s">
        <v>165</v>
      </c>
      <c r="D208" s="59" t="s">
        <v>94</v>
      </c>
      <c r="E208" s="65">
        <v>10</v>
      </c>
      <c r="F208" s="33">
        <v>1</v>
      </c>
      <c r="G208" s="34">
        <v>146.31</v>
      </c>
      <c r="H208" s="72" t="s">
        <v>143</v>
      </c>
      <c r="I208" s="80">
        <v>1463.1</v>
      </c>
      <c r="J208" s="11" t="s">
        <v>147</v>
      </c>
      <c r="K208" s="27">
        <v>131.68</v>
      </c>
      <c r="L208" s="84">
        <v>146.31</v>
      </c>
      <c r="M208" s="13">
        <f t="shared" ref="M208:M213" si="32">I208*40%</f>
        <v>585.24</v>
      </c>
      <c r="Q208" s="6">
        <v>47.5</v>
      </c>
    </row>
    <row r="209" spans="1:17" ht="16" hidden="1" x14ac:dyDescent="0.2">
      <c r="A209" s="54">
        <v>45887</v>
      </c>
      <c r="B209" s="91">
        <v>6980</v>
      </c>
      <c r="C209" s="59" t="s">
        <v>165</v>
      </c>
      <c r="D209" s="59" t="s">
        <v>154</v>
      </c>
      <c r="E209" s="65">
        <v>10</v>
      </c>
      <c r="F209" s="33">
        <v>1</v>
      </c>
      <c r="G209" s="34">
        <v>361.43</v>
      </c>
      <c r="H209" s="72" t="s">
        <v>143</v>
      </c>
      <c r="I209" s="80">
        <v>3614.3</v>
      </c>
      <c r="J209" s="11" t="s">
        <v>147</v>
      </c>
      <c r="K209" s="21">
        <v>325.28571428571399</v>
      </c>
      <c r="L209" s="76">
        <v>361.43</v>
      </c>
      <c r="M209" s="13">
        <f t="shared" si="32"/>
        <v>1445.7200000000003</v>
      </c>
    </row>
    <row r="210" spans="1:17" ht="16" hidden="1" x14ac:dyDescent="0.2">
      <c r="A210" s="54">
        <v>45887</v>
      </c>
      <c r="B210" s="91">
        <v>6980</v>
      </c>
      <c r="C210" s="59" t="s">
        <v>165</v>
      </c>
      <c r="D210" s="59" t="s">
        <v>12</v>
      </c>
      <c r="E210" s="65">
        <v>10</v>
      </c>
      <c r="F210" s="33">
        <v>1</v>
      </c>
      <c r="G210" s="34">
        <v>102.14</v>
      </c>
      <c r="H210" s="72" t="s">
        <v>143</v>
      </c>
      <c r="I210" s="80">
        <v>1021.4</v>
      </c>
      <c r="J210" s="11" t="s">
        <v>147</v>
      </c>
      <c r="K210" s="19">
        <v>92.86</v>
      </c>
      <c r="L210" s="76">
        <v>102.14</v>
      </c>
      <c r="M210" s="13">
        <f t="shared" si="32"/>
        <v>408.56</v>
      </c>
    </row>
    <row r="211" spans="1:17" ht="16" hidden="1" x14ac:dyDescent="0.2">
      <c r="A211" s="54">
        <v>45881</v>
      </c>
      <c r="B211" s="91">
        <v>6589</v>
      </c>
      <c r="C211" s="59" t="s">
        <v>166</v>
      </c>
      <c r="D211" s="59" t="s">
        <v>94</v>
      </c>
      <c r="E211" s="65">
        <v>10</v>
      </c>
      <c r="F211" s="33">
        <v>0</v>
      </c>
      <c r="G211" s="34">
        <v>146.31</v>
      </c>
      <c r="H211" s="72" t="s">
        <v>143</v>
      </c>
      <c r="I211" s="80">
        <v>1463.1</v>
      </c>
      <c r="J211" s="11" t="s">
        <v>147</v>
      </c>
      <c r="K211" s="27">
        <v>131.68</v>
      </c>
      <c r="L211" s="84">
        <v>146.31</v>
      </c>
      <c r="M211" s="13">
        <f t="shared" si="32"/>
        <v>585.24</v>
      </c>
      <c r="Q211" s="6">
        <v>47.5</v>
      </c>
    </row>
    <row r="212" spans="1:17" ht="16" hidden="1" x14ac:dyDescent="0.2">
      <c r="A212" s="54">
        <v>45881</v>
      </c>
      <c r="B212" s="91">
        <v>6589</v>
      </c>
      <c r="C212" s="59" t="s">
        <v>166</v>
      </c>
      <c r="D212" s="59" t="s">
        <v>154</v>
      </c>
      <c r="E212" s="65">
        <v>10</v>
      </c>
      <c r="F212" s="33">
        <v>0</v>
      </c>
      <c r="G212" s="34">
        <v>361.43</v>
      </c>
      <c r="H212" s="72" t="s">
        <v>143</v>
      </c>
      <c r="I212" s="80">
        <v>3614.3</v>
      </c>
      <c r="J212" s="11" t="s">
        <v>147</v>
      </c>
      <c r="K212" s="21">
        <v>325.28571428571399</v>
      </c>
      <c r="L212" s="76">
        <v>361.43</v>
      </c>
      <c r="M212" s="13">
        <f t="shared" si="32"/>
        <v>1445.7200000000003</v>
      </c>
    </row>
    <row r="213" spans="1:17" ht="16" hidden="1" x14ac:dyDescent="0.2">
      <c r="A213" s="54">
        <v>45881</v>
      </c>
      <c r="B213" s="91">
        <v>6589</v>
      </c>
      <c r="C213" s="59" t="s">
        <v>166</v>
      </c>
      <c r="D213" s="59" t="s">
        <v>12</v>
      </c>
      <c r="E213" s="65">
        <v>10</v>
      </c>
      <c r="F213" s="33">
        <v>0</v>
      </c>
      <c r="G213" s="34">
        <v>102.14</v>
      </c>
      <c r="H213" s="72" t="s">
        <v>143</v>
      </c>
      <c r="I213" s="80">
        <v>1021.4</v>
      </c>
      <c r="J213" s="11" t="s">
        <v>147</v>
      </c>
      <c r="K213" s="19">
        <v>92.86</v>
      </c>
      <c r="L213" s="76">
        <v>102.14</v>
      </c>
      <c r="M213" s="13">
        <f t="shared" si="32"/>
        <v>408.56</v>
      </c>
    </row>
    <row r="214" spans="1:17" ht="16" hidden="1" x14ac:dyDescent="0.2">
      <c r="A214" s="54">
        <v>45880</v>
      </c>
      <c r="B214" s="91">
        <v>6463</v>
      </c>
      <c r="C214" s="59" t="s">
        <v>170</v>
      </c>
      <c r="D214" s="59" t="s">
        <v>4</v>
      </c>
      <c r="E214" s="65">
        <v>10</v>
      </c>
      <c r="F214" s="33">
        <v>0</v>
      </c>
      <c r="G214" s="34">
        <v>55.79</v>
      </c>
      <c r="H214" s="68" t="s">
        <v>59</v>
      </c>
      <c r="I214" s="79">
        <v>557.9</v>
      </c>
      <c r="J214" s="11" t="s">
        <v>147</v>
      </c>
      <c r="K214" s="19">
        <v>50.21</v>
      </c>
      <c r="L214" s="76">
        <v>55.79</v>
      </c>
      <c r="M214" s="12">
        <f t="shared" ref="M214:M217" si="33">I214*30%</f>
        <v>167.36999999999998</v>
      </c>
      <c r="Q214" s="6">
        <v>23</v>
      </c>
    </row>
    <row r="215" spans="1:17" ht="16" hidden="1" x14ac:dyDescent="0.2">
      <c r="A215" s="54">
        <v>45890</v>
      </c>
      <c r="B215" s="91">
        <v>7140</v>
      </c>
      <c r="C215" s="59" t="s">
        <v>170</v>
      </c>
      <c r="D215" s="59" t="s">
        <v>5</v>
      </c>
      <c r="E215" s="65">
        <v>10</v>
      </c>
      <c r="F215" s="33">
        <v>1</v>
      </c>
      <c r="G215" s="34">
        <v>60.94</v>
      </c>
      <c r="H215" s="68" t="s">
        <v>59</v>
      </c>
      <c r="I215" s="79">
        <v>609.4</v>
      </c>
      <c r="J215" s="11" t="s">
        <v>147</v>
      </c>
      <c r="K215" s="19">
        <v>50.79</v>
      </c>
      <c r="L215" s="76">
        <v>56.43</v>
      </c>
      <c r="M215" s="13">
        <f t="shared" si="33"/>
        <v>182.82</v>
      </c>
      <c r="Q215" s="6">
        <v>23</v>
      </c>
    </row>
    <row r="216" spans="1:17" ht="16" hidden="1" x14ac:dyDescent="0.2">
      <c r="A216" s="54">
        <v>45873</v>
      </c>
      <c r="B216" s="91">
        <v>6062</v>
      </c>
      <c r="C216" s="59" t="s">
        <v>170</v>
      </c>
      <c r="D216" s="59" t="s">
        <v>5</v>
      </c>
      <c r="E216" s="65">
        <v>10</v>
      </c>
      <c r="F216" s="33">
        <v>0</v>
      </c>
      <c r="G216" s="34">
        <v>60.94</v>
      </c>
      <c r="H216" s="68" t="s">
        <v>59</v>
      </c>
      <c r="I216" s="79">
        <v>609.4</v>
      </c>
      <c r="J216" s="11" t="s">
        <v>147</v>
      </c>
      <c r="K216" s="19">
        <v>50.79</v>
      </c>
      <c r="L216" s="76">
        <v>56.43</v>
      </c>
      <c r="M216" s="13">
        <f t="shared" si="33"/>
        <v>182.82</v>
      </c>
      <c r="Q216" s="6">
        <v>23</v>
      </c>
    </row>
    <row r="217" spans="1:17" ht="16" hidden="1" x14ac:dyDescent="0.2">
      <c r="A217" s="54">
        <v>45880</v>
      </c>
      <c r="B217" s="91">
        <v>6463</v>
      </c>
      <c r="C217" s="59" t="s">
        <v>170</v>
      </c>
      <c r="D217" s="59" t="s">
        <v>5</v>
      </c>
      <c r="E217" s="65">
        <v>10</v>
      </c>
      <c r="F217" s="33">
        <v>0</v>
      </c>
      <c r="G217" s="34">
        <v>60.94</v>
      </c>
      <c r="H217" s="68" t="s">
        <v>59</v>
      </c>
      <c r="I217" s="79">
        <v>609.4</v>
      </c>
      <c r="J217" s="11" t="s">
        <v>147</v>
      </c>
      <c r="K217" s="19">
        <v>50.79</v>
      </c>
      <c r="L217" s="76">
        <v>56.43</v>
      </c>
      <c r="M217" s="13">
        <f t="shared" si="33"/>
        <v>182.82</v>
      </c>
      <c r="Q217" s="6">
        <v>23</v>
      </c>
    </row>
    <row r="218" spans="1:17" hidden="1" x14ac:dyDescent="0.2">
      <c r="A218" s="54">
        <v>45875</v>
      </c>
      <c r="B218" s="91">
        <v>6286</v>
      </c>
      <c r="C218" s="59" t="s">
        <v>170</v>
      </c>
      <c r="D218" s="59" t="s">
        <v>153</v>
      </c>
      <c r="E218" s="65">
        <v>10</v>
      </c>
      <c r="F218" s="33">
        <v>0</v>
      </c>
      <c r="G218" s="34">
        <v>164.8</v>
      </c>
      <c r="H218" s="69" t="s">
        <v>59</v>
      </c>
      <c r="I218" s="80">
        <v>1648</v>
      </c>
      <c r="J218" s="11" t="s">
        <v>147</v>
      </c>
      <c r="K218" s="40">
        <v>185.5</v>
      </c>
      <c r="L218" s="86">
        <v>206.25</v>
      </c>
      <c r="M218" s="13">
        <f>I218*30%</f>
        <v>494.4</v>
      </c>
    </row>
    <row r="219" spans="1:17" ht="16" hidden="1" x14ac:dyDescent="0.2">
      <c r="A219" s="54">
        <v>45890</v>
      </c>
      <c r="B219" s="91">
        <v>7140</v>
      </c>
      <c r="C219" s="59" t="s">
        <v>170</v>
      </c>
      <c r="D219" s="59" t="s">
        <v>12</v>
      </c>
      <c r="E219" s="65">
        <v>10</v>
      </c>
      <c r="F219" s="33">
        <v>1</v>
      </c>
      <c r="G219" s="34">
        <v>102.14</v>
      </c>
      <c r="H219" s="68" t="s">
        <v>59</v>
      </c>
      <c r="I219" s="80">
        <v>1021.4</v>
      </c>
      <c r="J219" s="11" t="s">
        <v>147</v>
      </c>
      <c r="K219" s="19">
        <v>92.86</v>
      </c>
      <c r="L219" s="76">
        <v>102.14</v>
      </c>
      <c r="M219" s="13">
        <f t="shared" ref="M219:M222" si="34">I219*30%</f>
        <v>306.41999999999996</v>
      </c>
    </row>
    <row r="220" spans="1:17" ht="16" hidden="1" x14ac:dyDescent="0.2">
      <c r="A220" s="54">
        <v>45873</v>
      </c>
      <c r="B220" s="91">
        <v>6084</v>
      </c>
      <c r="C220" s="59" t="s">
        <v>170</v>
      </c>
      <c r="D220" s="59" t="s">
        <v>12</v>
      </c>
      <c r="E220" s="65">
        <v>10</v>
      </c>
      <c r="F220" s="33">
        <v>1</v>
      </c>
      <c r="G220" s="34">
        <v>102.14</v>
      </c>
      <c r="H220" s="68" t="s">
        <v>59</v>
      </c>
      <c r="I220" s="80">
        <v>1021.4</v>
      </c>
      <c r="J220" s="11" t="s">
        <v>147</v>
      </c>
      <c r="K220" s="19">
        <v>92.86</v>
      </c>
      <c r="L220" s="76">
        <v>102.14</v>
      </c>
      <c r="M220" s="13">
        <f t="shared" si="34"/>
        <v>306.41999999999996</v>
      </c>
    </row>
    <row r="221" spans="1:17" ht="16" hidden="1" x14ac:dyDescent="0.2">
      <c r="A221" s="54">
        <v>45878</v>
      </c>
      <c r="B221" s="91">
        <v>6430</v>
      </c>
      <c r="C221" s="59" t="s">
        <v>170</v>
      </c>
      <c r="D221" s="59" t="s">
        <v>12</v>
      </c>
      <c r="E221" s="65">
        <v>10</v>
      </c>
      <c r="F221" s="33">
        <v>1</v>
      </c>
      <c r="G221" s="34">
        <v>102.14</v>
      </c>
      <c r="H221" s="68" t="s">
        <v>59</v>
      </c>
      <c r="I221" s="80">
        <v>1021.4</v>
      </c>
      <c r="J221" s="11" t="s">
        <v>147</v>
      </c>
      <c r="K221" s="19">
        <v>92.86</v>
      </c>
      <c r="L221" s="76">
        <v>102.14</v>
      </c>
      <c r="M221" s="13">
        <f t="shared" si="34"/>
        <v>306.41999999999996</v>
      </c>
    </row>
    <row r="222" spans="1:17" ht="16" hidden="1" x14ac:dyDescent="0.2">
      <c r="A222" s="54">
        <v>45889</v>
      </c>
      <c r="B222" s="91">
        <v>7079</v>
      </c>
      <c r="C222" s="59" t="s">
        <v>114</v>
      </c>
      <c r="D222" s="59" t="s">
        <v>7</v>
      </c>
      <c r="E222" s="65">
        <v>10</v>
      </c>
      <c r="F222" s="33">
        <v>1</v>
      </c>
      <c r="G222" s="34">
        <v>171.43</v>
      </c>
      <c r="H222" s="72" t="s">
        <v>175</v>
      </c>
      <c r="I222" s="80">
        <v>1714.3</v>
      </c>
      <c r="J222" s="11" t="s">
        <v>147</v>
      </c>
      <c r="K222" s="19">
        <v>154.29</v>
      </c>
      <c r="L222" s="76">
        <v>171.43</v>
      </c>
      <c r="M222" s="13">
        <f t="shared" si="34"/>
        <v>514.29</v>
      </c>
    </row>
    <row r="223" spans="1:17" ht="16" hidden="1" x14ac:dyDescent="0.2">
      <c r="A223" s="54">
        <v>45897</v>
      </c>
      <c r="B223" s="91">
        <v>7606</v>
      </c>
      <c r="C223" s="59" t="s">
        <v>167</v>
      </c>
      <c r="D223" s="59" t="s">
        <v>8</v>
      </c>
      <c r="E223" s="65">
        <v>10</v>
      </c>
      <c r="F223" s="33">
        <v>1</v>
      </c>
      <c r="G223" s="34">
        <v>196.43</v>
      </c>
      <c r="H223" s="69" t="s">
        <v>60</v>
      </c>
      <c r="I223" s="80">
        <v>1964.3</v>
      </c>
      <c r="J223" s="11" t="s">
        <v>147</v>
      </c>
      <c r="K223" s="21">
        <v>176.79</v>
      </c>
      <c r="L223" s="76">
        <v>196.43</v>
      </c>
      <c r="M223" s="13">
        <f t="shared" ref="M223:M225" si="35">I223*30%</f>
        <v>589.29</v>
      </c>
      <c r="Q223" s="22">
        <v>10.8</v>
      </c>
    </row>
    <row r="224" spans="1:17" hidden="1" x14ac:dyDescent="0.2">
      <c r="A224" s="54">
        <v>45890</v>
      </c>
      <c r="B224" s="91">
        <v>7173</v>
      </c>
      <c r="C224" s="59" t="s">
        <v>118</v>
      </c>
      <c r="D224" s="59" t="s">
        <v>11</v>
      </c>
      <c r="E224" s="65">
        <v>3</v>
      </c>
      <c r="F224" s="33">
        <v>0</v>
      </c>
      <c r="G224" s="34">
        <v>50</v>
      </c>
      <c r="H224" s="69" t="s">
        <v>130</v>
      </c>
      <c r="I224" s="79">
        <v>150</v>
      </c>
      <c r="J224" s="11" t="s">
        <v>147</v>
      </c>
      <c r="K224" s="6">
        <v>45</v>
      </c>
      <c r="L224" s="76">
        <v>50</v>
      </c>
      <c r="M224" s="13">
        <f t="shared" si="35"/>
        <v>45</v>
      </c>
      <c r="Q224" s="6">
        <v>4.55</v>
      </c>
    </row>
    <row r="225" spans="1:17" ht="16" hidden="1" x14ac:dyDescent="0.2">
      <c r="A225" s="54">
        <v>45890</v>
      </c>
      <c r="B225" s="91">
        <v>7173</v>
      </c>
      <c r="C225" s="59" t="s">
        <v>118</v>
      </c>
      <c r="D225" s="59" t="s">
        <v>12</v>
      </c>
      <c r="E225" s="65">
        <v>3</v>
      </c>
      <c r="F225" s="33">
        <v>0</v>
      </c>
      <c r="G225" s="34">
        <v>102.14</v>
      </c>
      <c r="H225" s="69" t="s">
        <v>130</v>
      </c>
      <c r="I225" s="79">
        <v>306.42</v>
      </c>
      <c r="J225" s="11" t="s">
        <v>147</v>
      </c>
      <c r="K225" s="19">
        <v>92.86</v>
      </c>
      <c r="L225" s="76">
        <v>102.14</v>
      </c>
      <c r="M225" s="13">
        <f t="shared" si="35"/>
        <v>91.926000000000002</v>
      </c>
    </row>
    <row r="226" spans="1:17" ht="16" hidden="1" x14ac:dyDescent="0.2">
      <c r="A226" s="54">
        <v>45897</v>
      </c>
      <c r="B226" s="91">
        <v>7637</v>
      </c>
      <c r="C226" s="59" t="s">
        <v>168</v>
      </c>
      <c r="D226" s="59" t="s">
        <v>7</v>
      </c>
      <c r="E226" s="65">
        <v>5</v>
      </c>
      <c r="F226" s="33">
        <v>0</v>
      </c>
      <c r="G226" s="34">
        <v>171.43</v>
      </c>
      <c r="H226" s="69" t="s">
        <v>131</v>
      </c>
      <c r="I226" s="79">
        <v>857.15</v>
      </c>
      <c r="J226" s="11" t="s">
        <v>147</v>
      </c>
      <c r="K226" s="19">
        <v>154.29</v>
      </c>
      <c r="L226" s="76">
        <v>171.43</v>
      </c>
      <c r="M226" s="13">
        <f t="shared" ref="M226:M230" si="36">I226*30%</f>
        <v>257.14499999999998</v>
      </c>
    </row>
    <row r="227" spans="1:17" ht="16" hidden="1" x14ac:dyDescent="0.2">
      <c r="A227" s="54">
        <v>45897</v>
      </c>
      <c r="B227" s="91">
        <v>7637</v>
      </c>
      <c r="C227" s="59" t="s">
        <v>168</v>
      </c>
      <c r="D227" s="59" t="s">
        <v>94</v>
      </c>
      <c r="E227" s="65">
        <v>5</v>
      </c>
      <c r="F227" s="33">
        <v>0</v>
      </c>
      <c r="G227" s="34">
        <v>146.31</v>
      </c>
      <c r="H227" s="69" t="s">
        <v>131</v>
      </c>
      <c r="I227" s="79">
        <v>731.55</v>
      </c>
      <c r="J227" s="11" t="s">
        <v>147</v>
      </c>
      <c r="K227" s="27">
        <v>131.68</v>
      </c>
      <c r="L227" s="84">
        <v>146.31</v>
      </c>
      <c r="M227" s="13">
        <f t="shared" si="36"/>
        <v>219.46499999999997</v>
      </c>
      <c r="Q227" s="6">
        <v>47.5</v>
      </c>
    </row>
    <row r="228" spans="1:17" ht="16" hidden="1" x14ac:dyDescent="0.2">
      <c r="A228" s="54">
        <v>45897</v>
      </c>
      <c r="B228" s="91">
        <v>7593</v>
      </c>
      <c r="C228" s="59" t="s">
        <v>169</v>
      </c>
      <c r="D228" s="59" t="s">
        <v>94</v>
      </c>
      <c r="E228" s="65">
        <v>10</v>
      </c>
      <c r="F228" s="33">
        <v>2</v>
      </c>
      <c r="G228" s="34">
        <v>146.31</v>
      </c>
      <c r="H228" s="72" t="s">
        <v>171</v>
      </c>
      <c r="I228" s="80">
        <v>1463.1</v>
      </c>
      <c r="J228" s="11" t="s">
        <v>147</v>
      </c>
      <c r="K228" s="27">
        <v>131.68</v>
      </c>
      <c r="L228" s="84">
        <v>146.31</v>
      </c>
      <c r="M228" s="13">
        <f t="shared" si="36"/>
        <v>438.92999999999995</v>
      </c>
      <c r="Q228" s="6">
        <v>47.5</v>
      </c>
    </row>
    <row r="229" spans="1:17" hidden="1" x14ac:dyDescent="0.2">
      <c r="A229" s="54">
        <v>45897</v>
      </c>
      <c r="B229" s="91">
        <v>7593</v>
      </c>
      <c r="C229" s="59" t="s">
        <v>169</v>
      </c>
      <c r="D229" s="59" t="s">
        <v>11</v>
      </c>
      <c r="E229" s="65">
        <v>10</v>
      </c>
      <c r="F229" s="33">
        <v>2</v>
      </c>
      <c r="G229" s="34">
        <v>50</v>
      </c>
      <c r="H229" s="72" t="s">
        <v>171</v>
      </c>
      <c r="I229" s="79">
        <v>500</v>
      </c>
      <c r="J229" s="11" t="s">
        <v>147</v>
      </c>
      <c r="K229" s="6">
        <v>45</v>
      </c>
      <c r="L229" s="76">
        <v>50</v>
      </c>
      <c r="M229" s="13">
        <f t="shared" si="36"/>
        <v>150</v>
      </c>
      <c r="Q229" s="6">
        <v>4.55</v>
      </c>
    </row>
    <row r="230" spans="1:17" ht="16" hidden="1" x14ac:dyDescent="0.2">
      <c r="A230" s="54">
        <v>45897</v>
      </c>
      <c r="B230" s="91">
        <v>7593</v>
      </c>
      <c r="C230" s="59" t="s">
        <v>169</v>
      </c>
      <c r="D230" s="59" t="s">
        <v>12</v>
      </c>
      <c r="E230" s="65">
        <v>10</v>
      </c>
      <c r="F230" s="33">
        <v>2</v>
      </c>
      <c r="G230" s="34">
        <v>102.14</v>
      </c>
      <c r="H230" s="72" t="s">
        <v>171</v>
      </c>
      <c r="I230" s="80">
        <v>1021.4</v>
      </c>
      <c r="J230" s="11" t="s">
        <v>147</v>
      </c>
      <c r="K230" s="19">
        <v>92.86</v>
      </c>
      <c r="L230" s="76">
        <v>102.14</v>
      </c>
      <c r="M230" s="13">
        <f t="shared" si="36"/>
        <v>306.41999999999996</v>
      </c>
    </row>
    <row r="231" spans="1:17" ht="16" hidden="1" x14ac:dyDescent="0.2">
      <c r="A231" s="54">
        <v>45898</v>
      </c>
      <c r="B231" s="91">
        <v>7690</v>
      </c>
      <c r="C231" s="59" t="s">
        <v>176</v>
      </c>
      <c r="D231" s="59" t="s">
        <v>94</v>
      </c>
      <c r="E231" s="65">
        <v>10</v>
      </c>
      <c r="F231" s="33">
        <v>0</v>
      </c>
      <c r="G231" s="34">
        <v>146.31</v>
      </c>
      <c r="H231" s="72" t="s">
        <v>143</v>
      </c>
      <c r="I231" s="80">
        <v>1463.1</v>
      </c>
      <c r="J231" s="11" t="s">
        <v>147</v>
      </c>
      <c r="K231" s="27">
        <v>131.68</v>
      </c>
      <c r="L231" s="84">
        <v>146.31</v>
      </c>
      <c r="M231" s="13">
        <f t="shared" ref="M231:M240" si="37">I231*40%</f>
        <v>585.24</v>
      </c>
    </row>
    <row r="232" spans="1:17" ht="16" hidden="1" x14ac:dyDescent="0.2">
      <c r="A232" s="54">
        <v>45890</v>
      </c>
      <c r="B232" s="91">
        <v>7200</v>
      </c>
      <c r="C232" s="59" t="s">
        <v>176</v>
      </c>
      <c r="D232" s="59" t="s">
        <v>94</v>
      </c>
      <c r="E232" s="65">
        <v>10</v>
      </c>
      <c r="F232" s="33">
        <v>0</v>
      </c>
      <c r="G232" s="34">
        <v>146.31</v>
      </c>
      <c r="H232" s="72" t="s">
        <v>143</v>
      </c>
      <c r="I232" s="80">
        <v>1463.1</v>
      </c>
      <c r="J232" s="11" t="s">
        <v>147</v>
      </c>
      <c r="K232" s="27">
        <v>131.68</v>
      </c>
      <c r="L232" s="84">
        <v>146.31</v>
      </c>
      <c r="M232" s="13">
        <f t="shared" si="37"/>
        <v>585.24</v>
      </c>
    </row>
    <row r="233" spans="1:17" ht="16" hidden="1" x14ac:dyDescent="0.2">
      <c r="A233" s="54">
        <v>45890</v>
      </c>
      <c r="B233" s="91">
        <v>7200</v>
      </c>
      <c r="C233" s="59" t="s">
        <v>176</v>
      </c>
      <c r="D233" s="59" t="s">
        <v>154</v>
      </c>
      <c r="E233" s="65">
        <v>10</v>
      </c>
      <c r="F233" s="33">
        <v>1</v>
      </c>
      <c r="G233" s="34">
        <v>361.43</v>
      </c>
      <c r="H233" s="72" t="s">
        <v>143</v>
      </c>
      <c r="I233" s="80">
        <v>3614.3</v>
      </c>
      <c r="J233" s="11" t="s">
        <v>147</v>
      </c>
      <c r="K233" s="21">
        <v>325.28571428571399</v>
      </c>
      <c r="L233" s="76">
        <v>361.43</v>
      </c>
      <c r="M233" s="13">
        <f t="shared" si="37"/>
        <v>1445.7200000000003</v>
      </c>
    </row>
    <row r="234" spans="1:17" ht="16" hidden="1" x14ac:dyDescent="0.2">
      <c r="A234" s="54">
        <v>45898</v>
      </c>
      <c r="B234" s="91">
        <v>7690</v>
      </c>
      <c r="C234" s="59" t="s">
        <v>176</v>
      </c>
      <c r="D234" s="59" t="s">
        <v>12</v>
      </c>
      <c r="E234" s="65">
        <v>10</v>
      </c>
      <c r="F234" s="33">
        <v>1</v>
      </c>
      <c r="G234" s="34">
        <v>102.14</v>
      </c>
      <c r="H234" s="72" t="s">
        <v>143</v>
      </c>
      <c r="I234" s="80">
        <v>1021.4</v>
      </c>
      <c r="J234" s="11" t="s">
        <v>147</v>
      </c>
      <c r="K234" s="19">
        <v>92.86</v>
      </c>
      <c r="L234" s="76">
        <v>102.14</v>
      </c>
      <c r="M234" s="13">
        <f t="shared" si="37"/>
        <v>408.56</v>
      </c>
    </row>
    <row r="235" spans="1:17" ht="16" hidden="1" x14ac:dyDescent="0.2">
      <c r="A235" s="54">
        <v>45890</v>
      </c>
      <c r="B235" s="91">
        <v>7200</v>
      </c>
      <c r="C235" s="59" t="s">
        <v>176</v>
      </c>
      <c r="D235" s="59" t="s">
        <v>12</v>
      </c>
      <c r="E235" s="65">
        <v>6</v>
      </c>
      <c r="F235" s="33">
        <v>0</v>
      </c>
      <c r="G235" s="34">
        <v>102.14</v>
      </c>
      <c r="H235" s="72" t="s">
        <v>143</v>
      </c>
      <c r="I235" s="79">
        <v>612.84</v>
      </c>
      <c r="J235" s="11" t="s">
        <v>147</v>
      </c>
      <c r="K235" s="19">
        <v>92.86</v>
      </c>
      <c r="L235" s="76">
        <v>102.14</v>
      </c>
      <c r="M235" s="13">
        <f t="shared" si="37"/>
        <v>245.13600000000002</v>
      </c>
    </row>
    <row r="236" spans="1:17" ht="16" hidden="1" x14ac:dyDescent="0.2">
      <c r="A236" s="54">
        <v>45890</v>
      </c>
      <c r="B236" s="91">
        <v>7200</v>
      </c>
      <c r="C236" s="59" t="s">
        <v>176</v>
      </c>
      <c r="D236" s="59" t="s">
        <v>12</v>
      </c>
      <c r="E236" s="65">
        <v>4</v>
      </c>
      <c r="F236" s="33">
        <v>0</v>
      </c>
      <c r="G236" s="34">
        <v>102.14</v>
      </c>
      <c r="H236" s="72" t="s">
        <v>143</v>
      </c>
      <c r="I236" s="79">
        <v>408.56</v>
      </c>
      <c r="J236" s="11" t="s">
        <v>147</v>
      </c>
      <c r="K236" s="19">
        <v>92.86</v>
      </c>
      <c r="L236" s="76">
        <v>102.14</v>
      </c>
      <c r="M236" s="13">
        <f t="shared" si="37"/>
        <v>163.42400000000001</v>
      </c>
    </row>
    <row r="237" spans="1:17" ht="16" hidden="1" x14ac:dyDescent="0.2">
      <c r="A237" s="54">
        <v>45890</v>
      </c>
      <c r="B237" s="91">
        <v>7200</v>
      </c>
      <c r="C237" s="59" t="s">
        <v>176</v>
      </c>
      <c r="D237" s="59" t="s">
        <v>12</v>
      </c>
      <c r="E237" s="65">
        <v>1</v>
      </c>
      <c r="F237" s="33">
        <v>0</v>
      </c>
      <c r="G237" s="34">
        <v>1</v>
      </c>
      <c r="H237" s="72" t="s">
        <v>143</v>
      </c>
      <c r="I237" s="79">
        <v>1</v>
      </c>
      <c r="J237" s="11" t="s">
        <v>147</v>
      </c>
      <c r="K237" s="19">
        <v>92.86</v>
      </c>
      <c r="L237" s="76">
        <v>102.14</v>
      </c>
      <c r="M237" s="13">
        <f t="shared" si="37"/>
        <v>0.4</v>
      </c>
    </row>
    <row r="238" spans="1:17" ht="16" hidden="1" x14ac:dyDescent="0.2">
      <c r="A238" s="54">
        <v>45892</v>
      </c>
      <c r="B238" s="91">
        <v>7343</v>
      </c>
      <c r="C238" s="59" t="s">
        <v>176</v>
      </c>
      <c r="D238" s="59" t="s">
        <v>12</v>
      </c>
      <c r="E238" s="65">
        <v>8</v>
      </c>
      <c r="F238" s="33">
        <v>0</v>
      </c>
      <c r="G238" s="34">
        <v>102.14</v>
      </c>
      <c r="H238" s="72" t="s">
        <v>143</v>
      </c>
      <c r="I238" s="79">
        <v>817.12</v>
      </c>
      <c r="J238" s="11" t="s">
        <v>147</v>
      </c>
      <c r="K238" s="19">
        <v>92.86</v>
      </c>
      <c r="L238" s="76">
        <v>102.14</v>
      </c>
      <c r="M238" s="13">
        <f t="shared" si="37"/>
        <v>326.84800000000001</v>
      </c>
    </row>
    <row r="239" spans="1:17" ht="16" hidden="1" x14ac:dyDescent="0.2">
      <c r="A239" s="54">
        <v>45892</v>
      </c>
      <c r="B239" s="91">
        <v>7343</v>
      </c>
      <c r="C239" s="59" t="s">
        <v>176</v>
      </c>
      <c r="D239" s="59" t="s">
        <v>12</v>
      </c>
      <c r="E239" s="65">
        <v>2</v>
      </c>
      <c r="F239" s="33">
        <v>0</v>
      </c>
      <c r="G239" s="34">
        <v>102.14</v>
      </c>
      <c r="H239" s="72" t="s">
        <v>143</v>
      </c>
      <c r="I239" s="79">
        <v>204.28</v>
      </c>
      <c r="J239" s="11" t="s">
        <v>147</v>
      </c>
      <c r="K239" s="19">
        <v>92.86</v>
      </c>
      <c r="L239" s="76">
        <v>102.14</v>
      </c>
      <c r="M239" s="13">
        <f t="shared" si="37"/>
        <v>81.712000000000003</v>
      </c>
    </row>
    <row r="240" spans="1:17" ht="16" hidden="1" x14ac:dyDescent="0.2">
      <c r="A240" s="54">
        <v>45892</v>
      </c>
      <c r="B240" s="91">
        <v>7343</v>
      </c>
      <c r="C240" s="59" t="s">
        <v>176</v>
      </c>
      <c r="D240" s="59" t="s">
        <v>12</v>
      </c>
      <c r="E240" s="65">
        <v>1</v>
      </c>
      <c r="F240" s="33">
        <v>0</v>
      </c>
      <c r="G240" s="34">
        <v>1</v>
      </c>
      <c r="H240" s="72" t="s">
        <v>143</v>
      </c>
      <c r="I240" s="79">
        <v>1</v>
      </c>
      <c r="J240" s="11" t="s">
        <v>147</v>
      </c>
      <c r="K240" s="19">
        <v>92.86</v>
      </c>
      <c r="L240" s="76">
        <v>102.14</v>
      </c>
      <c r="M240" s="13">
        <f t="shared" si="37"/>
        <v>0.4</v>
      </c>
    </row>
    <row r="241" spans="1:17" ht="16" hidden="1" x14ac:dyDescent="0.2">
      <c r="A241" s="54">
        <v>45906</v>
      </c>
      <c r="B241" s="91">
        <v>8161</v>
      </c>
      <c r="C241" s="59" t="s">
        <v>187</v>
      </c>
      <c r="D241" s="59" t="s">
        <v>94</v>
      </c>
      <c r="E241" s="65">
        <v>10</v>
      </c>
      <c r="F241" s="33">
        <v>1</v>
      </c>
      <c r="G241" s="34">
        <v>146.31</v>
      </c>
      <c r="H241" s="69" t="s">
        <v>126</v>
      </c>
      <c r="I241" s="80">
        <v>1463.1</v>
      </c>
      <c r="J241" s="11" t="s">
        <v>210</v>
      </c>
      <c r="K241" s="27">
        <v>131.68</v>
      </c>
      <c r="L241" s="84">
        <v>146.31</v>
      </c>
      <c r="M241" s="13">
        <f>I241*30%</f>
        <v>438.92999999999995</v>
      </c>
    </row>
    <row r="242" spans="1:17" ht="16" hidden="1" x14ac:dyDescent="0.2">
      <c r="A242" s="54">
        <v>45906</v>
      </c>
      <c r="B242" s="91">
        <v>8161</v>
      </c>
      <c r="C242" s="59" t="s">
        <v>187</v>
      </c>
      <c r="D242" s="59" t="s">
        <v>8</v>
      </c>
      <c r="E242" s="65">
        <v>10</v>
      </c>
      <c r="F242" s="33">
        <v>1</v>
      </c>
      <c r="G242" s="34">
        <v>196.43</v>
      </c>
      <c r="H242" s="69" t="s">
        <v>126</v>
      </c>
      <c r="I242" s="80">
        <v>1964.3</v>
      </c>
      <c r="J242" s="11" t="s">
        <v>210</v>
      </c>
      <c r="K242" s="21">
        <v>176.79</v>
      </c>
      <c r="L242" s="76">
        <v>196.43</v>
      </c>
      <c r="M242" s="13">
        <f t="shared" ref="M242:M243" si="38">I242*30%</f>
        <v>589.29</v>
      </c>
      <c r="Q242" s="22">
        <v>10.8</v>
      </c>
    </row>
    <row r="243" spans="1:17" ht="16" hidden="1" x14ac:dyDescent="0.2">
      <c r="A243" s="54">
        <v>45930</v>
      </c>
      <c r="B243" s="91">
        <v>9566</v>
      </c>
      <c r="C243" s="59" t="s">
        <v>188</v>
      </c>
      <c r="D243" s="59" t="s">
        <v>115</v>
      </c>
      <c r="E243" s="65">
        <v>5</v>
      </c>
      <c r="F243" s="33">
        <v>0</v>
      </c>
      <c r="G243" s="34">
        <v>157.71</v>
      </c>
      <c r="H243" s="69" t="s">
        <v>231</v>
      </c>
      <c r="I243" s="79">
        <v>788.55</v>
      </c>
      <c r="J243" s="11" t="s">
        <v>210</v>
      </c>
      <c r="K243" s="27">
        <v>141.43</v>
      </c>
      <c r="L243" s="84">
        <v>157.13999999999999</v>
      </c>
      <c r="M243" s="13">
        <f t="shared" si="38"/>
        <v>236.56499999999997</v>
      </c>
    </row>
    <row r="244" spans="1:17" hidden="1" x14ac:dyDescent="0.2">
      <c r="A244" s="54">
        <v>45930</v>
      </c>
      <c r="B244" s="91">
        <v>9566</v>
      </c>
      <c r="C244" s="59" t="s">
        <v>188</v>
      </c>
      <c r="D244" s="59" t="s">
        <v>189</v>
      </c>
      <c r="E244" s="65">
        <v>5</v>
      </c>
      <c r="F244" s="33">
        <v>0</v>
      </c>
      <c r="G244" s="34">
        <v>64.290000000000006</v>
      </c>
      <c r="H244" s="69" t="s">
        <v>231</v>
      </c>
      <c r="I244" s="79">
        <v>321.45</v>
      </c>
      <c r="J244" s="11" t="s">
        <v>210</v>
      </c>
      <c r="M244" s="13">
        <f>I244*30%</f>
        <v>96.434999999999988</v>
      </c>
    </row>
    <row r="245" spans="1:17" hidden="1" x14ac:dyDescent="0.2">
      <c r="A245" s="54">
        <v>45930</v>
      </c>
      <c r="B245" s="91">
        <v>9568</v>
      </c>
      <c r="C245" s="59" t="s">
        <v>190</v>
      </c>
      <c r="D245" s="60" t="s">
        <v>215</v>
      </c>
      <c r="E245" s="65">
        <v>10</v>
      </c>
      <c r="F245" s="33">
        <v>1</v>
      </c>
      <c r="G245" s="34">
        <v>71.430000000000007</v>
      </c>
      <c r="H245" s="69" t="s">
        <v>232</v>
      </c>
      <c r="I245" s="79">
        <v>714.3</v>
      </c>
      <c r="J245" s="11" t="s">
        <v>210</v>
      </c>
      <c r="M245" s="13">
        <f>I245*30%</f>
        <v>214.29</v>
      </c>
    </row>
    <row r="246" spans="1:17" hidden="1" x14ac:dyDescent="0.2">
      <c r="A246" s="54">
        <v>45930</v>
      </c>
      <c r="B246" s="91">
        <v>9567</v>
      </c>
      <c r="C246" s="59" t="s">
        <v>191</v>
      </c>
      <c r="D246" s="59" t="s">
        <v>192</v>
      </c>
      <c r="E246" s="65">
        <v>10</v>
      </c>
      <c r="F246" s="33">
        <v>1</v>
      </c>
      <c r="G246" s="34">
        <v>151.43</v>
      </c>
      <c r="H246" s="69" t="s">
        <v>233</v>
      </c>
      <c r="I246" s="80">
        <v>1514.3</v>
      </c>
      <c r="J246" s="11" t="s">
        <v>210</v>
      </c>
      <c r="M246" s="13">
        <f>I246*30%</f>
        <v>454.28999999999996</v>
      </c>
    </row>
    <row r="247" spans="1:17" ht="16" hidden="1" x14ac:dyDescent="0.2">
      <c r="A247" s="54">
        <v>45930</v>
      </c>
      <c r="B247" s="91">
        <v>9567</v>
      </c>
      <c r="C247" s="59" t="s">
        <v>191</v>
      </c>
      <c r="D247" s="59" t="s">
        <v>115</v>
      </c>
      <c r="E247" s="65">
        <v>10</v>
      </c>
      <c r="F247" s="33">
        <v>1</v>
      </c>
      <c r="G247" s="34">
        <v>157.71</v>
      </c>
      <c r="H247" s="69" t="s">
        <v>233</v>
      </c>
      <c r="I247" s="80">
        <v>1577.1</v>
      </c>
      <c r="J247" s="11" t="s">
        <v>210</v>
      </c>
      <c r="K247" s="27">
        <v>141.43</v>
      </c>
      <c r="L247" s="84">
        <v>157.13999999999999</v>
      </c>
      <c r="M247" s="13">
        <f t="shared" ref="M247:M248" si="39">I247*30%</f>
        <v>473.12999999999994</v>
      </c>
    </row>
    <row r="248" spans="1:17" ht="16" hidden="1" x14ac:dyDescent="0.2">
      <c r="A248" s="54">
        <v>45926</v>
      </c>
      <c r="B248" s="91">
        <v>9345</v>
      </c>
      <c r="C248" s="59" t="s">
        <v>193</v>
      </c>
      <c r="D248" s="59" t="s">
        <v>115</v>
      </c>
      <c r="E248" s="65">
        <v>2</v>
      </c>
      <c r="F248" s="33">
        <v>0</v>
      </c>
      <c r="G248" s="34">
        <v>157.13999999999999</v>
      </c>
      <c r="H248" s="69" t="s">
        <v>130</v>
      </c>
      <c r="I248" s="79">
        <v>314.27999999999997</v>
      </c>
      <c r="J248" s="11" t="s">
        <v>210</v>
      </c>
      <c r="K248" s="27">
        <v>141.43</v>
      </c>
      <c r="L248" s="84">
        <v>157.13999999999999</v>
      </c>
      <c r="M248" s="13">
        <f t="shared" si="39"/>
        <v>94.283999999999992</v>
      </c>
    </row>
    <row r="249" spans="1:17" ht="16" hidden="1" x14ac:dyDescent="0.2">
      <c r="A249" s="54">
        <v>45919</v>
      </c>
      <c r="B249" s="91">
        <v>8928</v>
      </c>
      <c r="C249" s="59" t="s">
        <v>96</v>
      </c>
      <c r="D249" s="59" t="s">
        <v>7</v>
      </c>
      <c r="E249" s="65">
        <v>10</v>
      </c>
      <c r="F249" s="33">
        <v>0</v>
      </c>
      <c r="G249" s="34">
        <v>171.43</v>
      </c>
      <c r="H249" s="69" t="s">
        <v>127</v>
      </c>
      <c r="I249" s="80">
        <v>1714.3</v>
      </c>
      <c r="J249" s="11" t="s">
        <v>210</v>
      </c>
      <c r="K249" s="19">
        <v>154.29</v>
      </c>
      <c r="L249" s="76">
        <v>171.43</v>
      </c>
      <c r="M249" s="13">
        <f>I249*40%</f>
        <v>685.72</v>
      </c>
    </row>
    <row r="250" spans="1:17" ht="16" hidden="1" x14ac:dyDescent="0.2">
      <c r="A250" s="54">
        <v>45930</v>
      </c>
      <c r="B250" s="91">
        <v>9557</v>
      </c>
      <c r="C250" s="59" t="s">
        <v>96</v>
      </c>
      <c r="D250" s="59" t="s">
        <v>7</v>
      </c>
      <c r="E250" s="65">
        <v>2</v>
      </c>
      <c r="F250" s="33">
        <v>0</v>
      </c>
      <c r="G250" s="34">
        <v>171.43</v>
      </c>
      <c r="H250" s="69" t="s">
        <v>127</v>
      </c>
      <c r="I250" s="79">
        <v>342.86</v>
      </c>
      <c r="J250" s="11" t="s">
        <v>210</v>
      </c>
      <c r="K250" s="19">
        <v>154.29</v>
      </c>
      <c r="L250" s="76">
        <v>171.43</v>
      </c>
      <c r="M250" s="13">
        <f t="shared" ref="M250:M253" si="40">I250*40%</f>
        <v>137.14400000000001</v>
      </c>
    </row>
    <row r="251" spans="1:17" ht="16" hidden="1" x14ac:dyDescent="0.2">
      <c r="A251" s="54">
        <v>45919</v>
      </c>
      <c r="B251" s="91">
        <v>8928</v>
      </c>
      <c r="C251" s="59" t="s">
        <v>96</v>
      </c>
      <c r="D251" s="59" t="s">
        <v>7</v>
      </c>
      <c r="E251" s="65">
        <v>1</v>
      </c>
      <c r="F251" s="33">
        <v>0</v>
      </c>
      <c r="G251" s="34">
        <v>1</v>
      </c>
      <c r="H251" s="69" t="s">
        <v>127</v>
      </c>
      <c r="I251" s="79">
        <v>1</v>
      </c>
      <c r="J251" s="11" t="s">
        <v>210</v>
      </c>
      <c r="K251" s="19">
        <v>154.29</v>
      </c>
      <c r="L251" s="76">
        <v>171.43</v>
      </c>
      <c r="M251" s="13">
        <f t="shared" si="40"/>
        <v>0.4</v>
      </c>
    </row>
    <row r="252" spans="1:17" hidden="1" x14ac:dyDescent="0.2">
      <c r="A252" s="54">
        <v>45930</v>
      </c>
      <c r="B252" s="91">
        <v>9557</v>
      </c>
      <c r="C252" s="59" t="s">
        <v>96</v>
      </c>
      <c r="D252" s="59" t="s">
        <v>192</v>
      </c>
      <c r="E252" s="65">
        <v>5</v>
      </c>
      <c r="F252" s="33">
        <v>0</v>
      </c>
      <c r="G252" s="34">
        <v>151.43</v>
      </c>
      <c r="H252" s="69" t="s">
        <v>127</v>
      </c>
      <c r="I252" s="79">
        <v>757.15</v>
      </c>
      <c r="J252" s="11" t="s">
        <v>210</v>
      </c>
      <c r="M252" s="13">
        <f t="shared" si="40"/>
        <v>302.86</v>
      </c>
    </row>
    <row r="253" spans="1:17" ht="16" hidden="1" x14ac:dyDescent="0.2">
      <c r="A253" s="54">
        <v>45930</v>
      </c>
      <c r="B253" s="91">
        <v>9557</v>
      </c>
      <c r="C253" s="59" t="s">
        <v>96</v>
      </c>
      <c r="D253" s="59" t="s">
        <v>101</v>
      </c>
      <c r="E253" s="65">
        <v>10</v>
      </c>
      <c r="F253" s="33">
        <v>1</v>
      </c>
      <c r="G253" s="34">
        <v>142.86000000000001</v>
      </c>
      <c r="H253" s="69" t="s">
        <v>127</v>
      </c>
      <c r="I253" s="80">
        <v>1428.6</v>
      </c>
      <c r="J253" s="11" t="s">
        <v>210</v>
      </c>
      <c r="K253" s="29">
        <v>128.57142857142901</v>
      </c>
      <c r="L253" s="84">
        <v>142.86000000000001</v>
      </c>
      <c r="M253" s="13">
        <f t="shared" si="40"/>
        <v>571.43999999999994</v>
      </c>
      <c r="Q253">
        <v>44851</v>
      </c>
    </row>
    <row r="254" spans="1:17" ht="16" hidden="1" x14ac:dyDescent="0.2">
      <c r="A254" s="54">
        <v>45926</v>
      </c>
      <c r="B254" s="91">
        <v>9323</v>
      </c>
      <c r="C254" s="59" t="s">
        <v>97</v>
      </c>
      <c r="D254" s="59" t="s">
        <v>101</v>
      </c>
      <c r="E254" s="65">
        <v>3</v>
      </c>
      <c r="F254" s="33">
        <v>0</v>
      </c>
      <c r="G254" s="34">
        <v>142.86000000000001</v>
      </c>
      <c r="H254" s="69" t="s">
        <v>128</v>
      </c>
      <c r="I254" s="79">
        <v>428.58</v>
      </c>
      <c r="J254" s="11" t="s">
        <v>210</v>
      </c>
      <c r="K254" s="29">
        <v>128.57142857142901</v>
      </c>
      <c r="L254" s="84">
        <v>142.86000000000001</v>
      </c>
      <c r="M254" s="13">
        <f t="shared" ref="M254:M255" si="41">I254*30%</f>
        <v>128.57399999999998</v>
      </c>
      <c r="Q254">
        <v>46639</v>
      </c>
    </row>
    <row r="255" spans="1:17" hidden="1" x14ac:dyDescent="0.2">
      <c r="A255" s="54">
        <v>45926</v>
      </c>
      <c r="B255" s="91">
        <v>9323</v>
      </c>
      <c r="C255" s="59" t="s">
        <v>97</v>
      </c>
      <c r="D255" s="59" t="s">
        <v>155</v>
      </c>
      <c r="E255" s="65">
        <v>3</v>
      </c>
      <c r="F255" s="33">
        <v>0</v>
      </c>
      <c r="G255" s="34">
        <v>107.14</v>
      </c>
      <c r="H255" s="69" t="s">
        <v>128</v>
      </c>
      <c r="I255" s="79">
        <v>321.42</v>
      </c>
      <c r="J255" s="11" t="s">
        <v>210</v>
      </c>
      <c r="M255" s="13">
        <f t="shared" si="41"/>
        <v>96.426000000000002</v>
      </c>
      <c r="Q255">
        <f>SUBTOTAL(9,Q253:Q254)</f>
        <v>0</v>
      </c>
    </row>
    <row r="256" spans="1:17" hidden="1" x14ac:dyDescent="0.2">
      <c r="A256" s="54">
        <v>45926</v>
      </c>
      <c r="B256" s="91">
        <v>9323</v>
      </c>
      <c r="C256" s="59" t="s">
        <v>97</v>
      </c>
      <c r="D256" s="59" t="s">
        <v>151</v>
      </c>
      <c r="E256" s="65">
        <v>3</v>
      </c>
      <c r="F256" s="33">
        <v>0</v>
      </c>
      <c r="G256" s="34">
        <v>396</v>
      </c>
      <c r="H256" s="69" t="s">
        <v>128</v>
      </c>
      <c r="I256" s="80">
        <v>1188</v>
      </c>
      <c r="J256" s="11" t="s">
        <v>210</v>
      </c>
      <c r="M256" s="13">
        <f>I256*30%</f>
        <v>356.4</v>
      </c>
    </row>
    <row r="257" spans="1:17" ht="16" hidden="1" x14ac:dyDescent="0.2">
      <c r="A257" s="54">
        <v>45926</v>
      </c>
      <c r="B257" s="91">
        <v>9323</v>
      </c>
      <c r="C257" s="59" t="s">
        <v>97</v>
      </c>
      <c r="D257" s="59" t="s">
        <v>98</v>
      </c>
      <c r="E257" s="65">
        <v>4</v>
      </c>
      <c r="F257" s="33">
        <v>0</v>
      </c>
      <c r="G257" s="34">
        <v>150</v>
      </c>
      <c r="H257" s="69" t="s">
        <v>128</v>
      </c>
      <c r="I257" s="79">
        <v>600</v>
      </c>
      <c r="J257" s="11" t="s">
        <v>210</v>
      </c>
      <c r="K257" s="27">
        <v>135</v>
      </c>
      <c r="L257" s="85">
        <v>150</v>
      </c>
      <c r="M257" s="13">
        <f t="shared" ref="M257" si="42">I257*30%</f>
        <v>180</v>
      </c>
    </row>
    <row r="258" spans="1:17" ht="16" hidden="1" x14ac:dyDescent="0.2">
      <c r="A258" s="54">
        <v>45926</v>
      </c>
      <c r="B258" s="91">
        <v>9326</v>
      </c>
      <c r="C258" s="59" t="s">
        <v>194</v>
      </c>
      <c r="D258" s="59" t="s">
        <v>10</v>
      </c>
      <c r="E258" s="65">
        <v>5</v>
      </c>
      <c r="F258" s="33">
        <v>0</v>
      </c>
      <c r="G258" s="34">
        <v>77.86</v>
      </c>
      <c r="H258" s="69" t="s">
        <v>234</v>
      </c>
      <c r="I258" s="79">
        <v>389.3</v>
      </c>
      <c r="J258" s="11" t="s">
        <v>210</v>
      </c>
      <c r="K258" s="21">
        <v>69.290000000000006</v>
      </c>
      <c r="L258" s="76">
        <v>77.86</v>
      </c>
      <c r="M258" s="12">
        <f t="shared" ref="M258:M259" si="43">I258*30%</f>
        <v>116.78999999999999</v>
      </c>
      <c r="Q258">
        <f>64*20</f>
        <v>1280</v>
      </c>
    </row>
    <row r="259" spans="1:17" ht="16" hidden="1" x14ac:dyDescent="0.2">
      <c r="A259" s="54">
        <v>45926</v>
      </c>
      <c r="B259" s="91">
        <v>9326</v>
      </c>
      <c r="C259" s="59" t="s">
        <v>194</v>
      </c>
      <c r="D259" s="59" t="s">
        <v>3</v>
      </c>
      <c r="E259" s="65">
        <v>5</v>
      </c>
      <c r="F259" s="33">
        <v>0</v>
      </c>
      <c r="G259" s="34">
        <v>155.74</v>
      </c>
      <c r="H259" s="69" t="s">
        <v>234</v>
      </c>
      <c r="I259" s="79">
        <v>778.7</v>
      </c>
      <c r="J259" s="11" t="s">
        <v>210</v>
      </c>
      <c r="K259" s="19">
        <v>140.13999999999999</v>
      </c>
      <c r="L259" s="76">
        <v>155.71</v>
      </c>
      <c r="M259" s="13">
        <f t="shared" si="43"/>
        <v>233.61</v>
      </c>
    </row>
    <row r="260" spans="1:17" ht="16" hidden="1" x14ac:dyDescent="0.2">
      <c r="A260" s="54">
        <v>45930</v>
      </c>
      <c r="B260" s="91">
        <v>9565</v>
      </c>
      <c r="C260" s="59" t="s">
        <v>195</v>
      </c>
      <c r="D260" s="59" t="s">
        <v>7</v>
      </c>
      <c r="E260" s="65">
        <v>10</v>
      </c>
      <c r="F260" s="33">
        <v>1</v>
      </c>
      <c r="G260" s="34">
        <v>171.43</v>
      </c>
      <c r="H260" s="69" t="s">
        <v>127</v>
      </c>
      <c r="I260" s="80">
        <v>1714.3</v>
      </c>
      <c r="J260" s="11" t="s">
        <v>210</v>
      </c>
      <c r="K260" s="19">
        <v>154.29</v>
      </c>
      <c r="L260" s="76">
        <v>171.43</v>
      </c>
      <c r="M260" s="13">
        <f>I260*40%</f>
        <v>685.72</v>
      </c>
    </row>
    <row r="261" spans="1:17" ht="16" hidden="1" x14ac:dyDescent="0.2">
      <c r="A261" s="54">
        <v>45930</v>
      </c>
      <c r="B261" s="91">
        <v>9565</v>
      </c>
      <c r="C261" s="59" t="s">
        <v>195</v>
      </c>
      <c r="D261" s="59" t="s">
        <v>115</v>
      </c>
      <c r="E261" s="65">
        <v>5</v>
      </c>
      <c r="F261" s="33">
        <v>0</v>
      </c>
      <c r="G261" s="34">
        <v>157.71</v>
      </c>
      <c r="H261" s="69" t="s">
        <v>127</v>
      </c>
      <c r="I261" s="79">
        <v>788.55</v>
      </c>
      <c r="J261" s="11" t="s">
        <v>210</v>
      </c>
      <c r="K261" s="27">
        <v>141.43</v>
      </c>
      <c r="L261" s="84">
        <v>157.13999999999999</v>
      </c>
      <c r="M261" s="13">
        <f t="shared" ref="M261:M262" si="44">I261*40%</f>
        <v>315.42</v>
      </c>
    </row>
    <row r="262" spans="1:17" ht="16" hidden="1" x14ac:dyDescent="0.2">
      <c r="A262" s="54">
        <v>45912</v>
      </c>
      <c r="B262" s="91">
        <v>8535</v>
      </c>
      <c r="C262" s="59" t="s">
        <v>196</v>
      </c>
      <c r="D262" s="59" t="s">
        <v>7</v>
      </c>
      <c r="E262" s="65">
        <v>10</v>
      </c>
      <c r="F262" s="33">
        <v>1</v>
      </c>
      <c r="G262" s="34">
        <v>171.43</v>
      </c>
      <c r="H262" s="69" t="s">
        <v>127</v>
      </c>
      <c r="I262" s="80">
        <v>1714.3</v>
      </c>
      <c r="J262" s="11" t="s">
        <v>210</v>
      </c>
      <c r="K262" s="19">
        <v>154.29</v>
      </c>
      <c r="L262" s="76">
        <v>171.43</v>
      </c>
      <c r="M262" s="13">
        <f t="shared" si="44"/>
        <v>685.72</v>
      </c>
    </row>
    <row r="263" spans="1:17" ht="16" hidden="1" x14ac:dyDescent="0.2">
      <c r="A263" s="54">
        <v>45906</v>
      </c>
      <c r="B263" s="91">
        <v>8127</v>
      </c>
      <c r="C263" s="59" t="s">
        <v>103</v>
      </c>
      <c r="D263" s="59" t="s">
        <v>94</v>
      </c>
      <c r="E263" s="65">
        <v>10</v>
      </c>
      <c r="F263" s="33">
        <v>1</v>
      </c>
      <c r="G263" s="34">
        <v>146.31</v>
      </c>
      <c r="H263" s="69" t="s">
        <v>131</v>
      </c>
      <c r="I263" s="80">
        <v>1463.1</v>
      </c>
      <c r="J263" s="11" t="s">
        <v>210</v>
      </c>
      <c r="K263" s="27">
        <v>131.68</v>
      </c>
      <c r="L263" s="84">
        <v>146.31</v>
      </c>
      <c r="M263" s="13">
        <f>I263*30%</f>
        <v>438.92999999999995</v>
      </c>
    </row>
    <row r="264" spans="1:17" ht="16" hidden="1" x14ac:dyDescent="0.2">
      <c r="A264" s="54">
        <v>45926</v>
      </c>
      <c r="B264" s="91">
        <v>9321</v>
      </c>
      <c r="C264" s="59" t="s">
        <v>108</v>
      </c>
      <c r="D264" s="59" t="s">
        <v>7</v>
      </c>
      <c r="E264" s="65">
        <v>20</v>
      </c>
      <c r="F264" s="33">
        <v>2</v>
      </c>
      <c r="G264" s="34">
        <v>171.43</v>
      </c>
      <c r="H264" s="69" t="s">
        <v>134</v>
      </c>
      <c r="I264" s="80">
        <v>3428.6</v>
      </c>
      <c r="J264" s="11" t="s">
        <v>210</v>
      </c>
      <c r="K264" s="19">
        <v>154.29</v>
      </c>
      <c r="L264" s="76">
        <v>171.43</v>
      </c>
      <c r="M264" s="13">
        <f t="shared" ref="M264" si="45">I264*30%</f>
        <v>1028.58</v>
      </c>
    </row>
    <row r="265" spans="1:17" hidden="1" x14ac:dyDescent="0.2">
      <c r="A265" s="54">
        <v>45926</v>
      </c>
      <c r="B265" s="91">
        <v>9321</v>
      </c>
      <c r="C265" s="59" t="s">
        <v>108</v>
      </c>
      <c r="D265" s="59" t="s">
        <v>197</v>
      </c>
      <c r="E265" s="65">
        <v>10</v>
      </c>
      <c r="F265" s="33">
        <v>1</v>
      </c>
      <c r="G265" s="34">
        <v>125</v>
      </c>
      <c r="H265" s="69" t="s">
        <v>134</v>
      </c>
      <c r="I265" s="80">
        <v>1250</v>
      </c>
      <c r="J265" s="11" t="s">
        <v>210</v>
      </c>
      <c r="M265" s="13">
        <f>I265*30%</f>
        <v>375</v>
      </c>
    </row>
    <row r="266" spans="1:17" ht="16" hidden="1" x14ac:dyDescent="0.2">
      <c r="A266" s="54">
        <v>45926</v>
      </c>
      <c r="B266" s="91">
        <v>9321</v>
      </c>
      <c r="C266" s="59" t="s">
        <v>108</v>
      </c>
      <c r="D266" s="59" t="s">
        <v>10</v>
      </c>
      <c r="E266" s="65">
        <v>20</v>
      </c>
      <c r="F266" s="33">
        <v>2</v>
      </c>
      <c r="G266" s="34">
        <v>77.86</v>
      </c>
      <c r="H266" s="69" t="s">
        <v>134</v>
      </c>
      <c r="I266" s="80">
        <v>1557.2</v>
      </c>
      <c r="J266" s="11" t="s">
        <v>210</v>
      </c>
      <c r="K266" s="21">
        <v>69.290000000000006</v>
      </c>
      <c r="L266" s="76">
        <v>77.86</v>
      </c>
      <c r="M266" s="12">
        <f t="shared" ref="M266:M267" si="46">I266*30%</f>
        <v>467.15999999999997</v>
      </c>
    </row>
    <row r="267" spans="1:17" ht="16" hidden="1" x14ac:dyDescent="0.2">
      <c r="A267" s="54">
        <v>45930</v>
      </c>
      <c r="B267" s="91">
        <v>9562</v>
      </c>
      <c r="C267" s="59" t="s">
        <v>198</v>
      </c>
      <c r="D267" s="59" t="s">
        <v>3</v>
      </c>
      <c r="E267" s="65">
        <v>4</v>
      </c>
      <c r="F267" s="33">
        <v>0</v>
      </c>
      <c r="G267" s="34">
        <v>155.74</v>
      </c>
      <c r="H267" s="69" t="s">
        <v>235</v>
      </c>
      <c r="I267" s="79">
        <v>622.96</v>
      </c>
      <c r="J267" s="11" t="s">
        <v>210</v>
      </c>
      <c r="K267" s="19">
        <v>140.13999999999999</v>
      </c>
      <c r="L267" s="76">
        <v>155.71</v>
      </c>
      <c r="M267" s="13">
        <f t="shared" si="46"/>
        <v>186.88800000000001</v>
      </c>
    </row>
    <row r="268" spans="1:17" hidden="1" x14ac:dyDescent="0.2">
      <c r="A268" s="54">
        <v>45930</v>
      </c>
      <c r="B268" s="91">
        <v>9562</v>
      </c>
      <c r="C268" s="59" t="s">
        <v>198</v>
      </c>
      <c r="D268" s="59" t="s">
        <v>189</v>
      </c>
      <c r="E268" s="65">
        <v>3</v>
      </c>
      <c r="F268" s="33">
        <v>0</v>
      </c>
      <c r="G268" s="34">
        <v>64.290000000000006</v>
      </c>
      <c r="H268" s="69" t="s">
        <v>235</v>
      </c>
      <c r="I268" s="79">
        <v>192.87</v>
      </c>
      <c r="J268" s="11" t="s">
        <v>210</v>
      </c>
      <c r="M268" s="13">
        <f>I268*30%</f>
        <v>57.860999999999997</v>
      </c>
    </row>
    <row r="269" spans="1:17" hidden="1" x14ac:dyDescent="0.2">
      <c r="A269" s="54">
        <v>45926</v>
      </c>
      <c r="B269" s="91">
        <v>9327</v>
      </c>
      <c r="C269" s="59" t="s">
        <v>199</v>
      </c>
      <c r="D269" s="59" t="s">
        <v>197</v>
      </c>
      <c r="E269" s="65">
        <v>10</v>
      </c>
      <c r="F269" s="33">
        <v>1</v>
      </c>
      <c r="G269" s="34">
        <v>125</v>
      </c>
      <c r="H269" s="69" t="s">
        <v>236</v>
      </c>
      <c r="I269" s="80">
        <v>1250</v>
      </c>
      <c r="J269" s="11" t="s">
        <v>210</v>
      </c>
      <c r="M269" s="13">
        <v>0</v>
      </c>
    </row>
    <row r="270" spans="1:17" hidden="1" x14ac:dyDescent="0.2">
      <c r="A270" s="54">
        <v>45926</v>
      </c>
      <c r="B270" s="91">
        <v>9327</v>
      </c>
      <c r="C270" s="59" t="s">
        <v>199</v>
      </c>
      <c r="D270" s="59" t="s">
        <v>189</v>
      </c>
      <c r="E270" s="65">
        <v>10</v>
      </c>
      <c r="F270" s="33">
        <v>1</v>
      </c>
      <c r="G270" s="34">
        <v>90</v>
      </c>
      <c r="H270" s="69" t="s">
        <v>236</v>
      </c>
      <c r="I270" s="79">
        <v>900</v>
      </c>
      <c r="J270" s="11" t="s">
        <v>210</v>
      </c>
      <c r="M270" s="13">
        <v>0</v>
      </c>
    </row>
    <row r="271" spans="1:17" ht="16" hidden="1" x14ac:dyDescent="0.2">
      <c r="A271" s="54">
        <v>45927</v>
      </c>
      <c r="B271" s="91">
        <v>9417</v>
      </c>
      <c r="C271" s="59" t="s">
        <v>200</v>
      </c>
      <c r="D271" s="59" t="s">
        <v>115</v>
      </c>
      <c r="E271" s="65">
        <v>5</v>
      </c>
      <c r="F271" s="33">
        <v>0</v>
      </c>
      <c r="G271" s="34">
        <v>157.13999999999999</v>
      </c>
      <c r="H271" s="69" t="s">
        <v>237</v>
      </c>
      <c r="I271" s="79">
        <v>785.7</v>
      </c>
      <c r="J271" s="11" t="s">
        <v>210</v>
      </c>
      <c r="K271" s="27">
        <v>141.43</v>
      </c>
      <c r="L271" s="84">
        <v>157.13999999999999</v>
      </c>
      <c r="M271" s="13">
        <f t="shared" ref="M271" si="47">I271*30%</f>
        <v>235.71</v>
      </c>
    </row>
    <row r="272" spans="1:17" ht="16" hidden="1" x14ac:dyDescent="0.2">
      <c r="A272" s="54">
        <v>45926</v>
      </c>
      <c r="B272" s="91">
        <v>9332</v>
      </c>
      <c r="C272" s="59" t="s">
        <v>201</v>
      </c>
      <c r="D272" s="59" t="s">
        <v>7</v>
      </c>
      <c r="E272" s="65">
        <v>10</v>
      </c>
      <c r="F272" s="33">
        <v>1</v>
      </c>
      <c r="G272" s="34">
        <v>171.43</v>
      </c>
      <c r="H272" s="69" t="s">
        <v>238</v>
      </c>
      <c r="I272" s="80">
        <v>1714.3</v>
      </c>
      <c r="J272" s="11" t="s">
        <v>210</v>
      </c>
      <c r="K272" s="19">
        <v>154.29</v>
      </c>
      <c r="L272" s="76">
        <v>171.43</v>
      </c>
      <c r="M272" s="13">
        <f t="shared" ref="M272:M273" si="48">I272*30%</f>
        <v>514.29</v>
      </c>
    </row>
    <row r="273" spans="1:17" ht="16" hidden="1" x14ac:dyDescent="0.2">
      <c r="A273" s="54">
        <v>45926</v>
      </c>
      <c r="B273" s="91">
        <v>9332</v>
      </c>
      <c r="C273" s="59" t="s">
        <v>201</v>
      </c>
      <c r="D273" s="59" t="s">
        <v>10</v>
      </c>
      <c r="E273" s="65">
        <v>20</v>
      </c>
      <c r="F273" s="33">
        <v>2</v>
      </c>
      <c r="G273" s="34">
        <v>77.86</v>
      </c>
      <c r="H273" s="69" t="s">
        <v>239</v>
      </c>
      <c r="I273" s="80">
        <v>1557.2</v>
      </c>
      <c r="J273" s="11" t="s">
        <v>210</v>
      </c>
      <c r="K273" s="21">
        <v>69.290000000000006</v>
      </c>
      <c r="L273" s="76">
        <v>77.86</v>
      </c>
      <c r="M273" s="12">
        <f t="shared" si="48"/>
        <v>467.15999999999997</v>
      </c>
    </row>
    <row r="274" spans="1:17" ht="16" hidden="1" x14ac:dyDescent="0.2">
      <c r="A274" s="54">
        <v>45913</v>
      </c>
      <c r="B274" s="91">
        <v>8573</v>
      </c>
      <c r="C274" s="59" t="s">
        <v>162</v>
      </c>
      <c r="D274" s="59" t="s">
        <v>8</v>
      </c>
      <c r="E274" s="65">
        <v>3</v>
      </c>
      <c r="F274" s="33">
        <v>0</v>
      </c>
      <c r="G274" s="34">
        <v>196.43</v>
      </c>
      <c r="H274" s="69" t="s">
        <v>240</v>
      </c>
      <c r="I274" s="79">
        <v>589.29</v>
      </c>
      <c r="J274" s="11" t="s">
        <v>210</v>
      </c>
      <c r="K274" s="21">
        <v>176.79</v>
      </c>
      <c r="L274" s="76">
        <v>196.43</v>
      </c>
      <c r="M274" s="13">
        <f t="shared" ref="M274" si="49">I274*30%</f>
        <v>176.78699999999998</v>
      </c>
      <c r="Q274" s="22">
        <v>10.8</v>
      </c>
    </row>
    <row r="275" spans="1:17" ht="16" hidden="1" x14ac:dyDescent="0.2">
      <c r="A275" s="54">
        <v>45911</v>
      </c>
      <c r="B275" s="91">
        <v>8450</v>
      </c>
      <c r="C275" s="59" t="s">
        <v>162</v>
      </c>
      <c r="D275" s="59" t="s">
        <v>154</v>
      </c>
      <c r="E275" s="65">
        <v>3</v>
      </c>
      <c r="F275" s="33">
        <v>0</v>
      </c>
      <c r="G275" s="34">
        <v>361.43</v>
      </c>
      <c r="H275" s="72" t="s">
        <v>143</v>
      </c>
      <c r="I275" s="80">
        <v>1084.29</v>
      </c>
      <c r="J275" s="11" t="s">
        <v>210</v>
      </c>
      <c r="K275" s="21">
        <v>325.28571428571399</v>
      </c>
      <c r="L275" s="76">
        <v>361.43</v>
      </c>
      <c r="M275" s="13">
        <f t="shared" ref="M275:M277" si="50">I275*40%</f>
        <v>433.71600000000001</v>
      </c>
    </row>
    <row r="276" spans="1:17" ht="16" hidden="1" x14ac:dyDescent="0.2">
      <c r="A276" s="54">
        <v>45909</v>
      </c>
      <c r="B276" s="91">
        <v>8286</v>
      </c>
      <c r="C276" s="59" t="s">
        <v>162</v>
      </c>
      <c r="D276" s="59" t="s">
        <v>154</v>
      </c>
      <c r="E276" s="65">
        <v>3</v>
      </c>
      <c r="F276" s="33">
        <v>0</v>
      </c>
      <c r="G276" s="34">
        <v>361.43</v>
      </c>
      <c r="H276" s="72" t="s">
        <v>143</v>
      </c>
      <c r="I276" s="80">
        <v>1084.29</v>
      </c>
      <c r="J276" s="11" t="s">
        <v>210</v>
      </c>
      <c r="K276" s="21">
        <v>325.28571428571399</v>
      </c>
      <c r="L276" s="76">
        <v>361.43</v>
      </c>
      <c r="M276" s="13">
        <f t="shared" si="50"/>
        <v>433.71600000000001</v>
      </c>
    </row>
    <row r="277" spans="1:17" ht="16" hidden="1" x14ac:dyDescent="0.2">
      <c r="A277" s="54">
        <v>45902</v>
      </c>
      <c r="B277" s="91">
        <v>7873</v>
      </c>
      <c r="C277" s="59" t="s">
        <v>162</v>
      </c>
      <c r="D277" s="59" t="s">
        <v>12</v>
      </c>
      <c r="E277" s="65">
        <v>6</v>
      </c>
      <c r="F277" s="33">
        <v>0</v>
      </c>
      <c r="G277" s="34">
        <v>102.14</v>
      </c>
      <c r="H277" s="72" t="s">
        <v>143</v>
      </c>
      <c r="I277" s="79">
        <v>612.84</v>
      </c>
      <c r="J277" s="11" t="s">
        <v>210</v>
      </c>
      <c r="K277" s="19">
        <v>92.86</v>
      </c>
      <c r="L277" s="76">
        <v>102.14</v>
      </c>
      <c r="M277" s="13">
        <f t="shared" si="50"/>
        <v>245.13600000000002</v>
      </c>
    </row>
    <row r="278" spans="1:17" ht="16" hidden="1" x14ac:dyDescent="0.2">
      <c r="A278" s="54">
        <v>45913</v>
      </c>
      <c r="B278" s="91">
        <v>8573</v>
      </c>
      <c r="C278" s="59" t="s">
        <v>162</v>
      </c>
      <c r="D278" s="59" t="s">
        <v>115</v>
      </c>
      <c r="E278" s="65">
        <v>2</v>
      </c>
      <c r="F278" s="33">
        <v>0</v>
      </c>
      <c r="G278" s="34">
        <v>157.13999999999999</v>
      </c>
      <c r="H278" s="69" t="s">
        <v>240</v>
      </c>
      <c r="I278" s="79">
        <v>314.27999999999997</v>
      </c>
      <c r="J278" s="11" t="s">
        <v>210</v>
      </c>
      <c r="K278" s="27">
        <v>141.43</v>
      </c>
      <c r="L278" s="84">
        <v>157.13999999999999</v>
      </c>
      <c r="M278" s="13">
        <f t="shared" ref="M278" si="51">I278*30%</f>
        <v>94.283999999999992</v>
      </c>
    </row>
    <row r="279" spans="1:17" ht="16" hidden="1" x14ac:dyDescent="0.2">
      <c r="A279" s="54">
        <v>45930</v>
      </c>
      <c r="B279" s="91">
        <v>9561</v>
      </c>
      <c r="C279" s="59" t="s">
        <v>202</v>
      </c>
      <c r="D279" s="59" t="s">
        <v>94</v>
      </c>
      <c r="E279" s="65">
        <v>10</v>
      </c>
      <c r="F279" s="33">
        <v>1</v>
      </c>
      <c r="G279" s="34">
        <v>146.31</v>
      </c>
      <c r="H279" s="69" t="s">
        <v>241</v>
      </c>
      <c r="I279" s="80">
        <v>1463.1</v>
      </c>
      <c r="J279" s="11" t="s">
        <v>210</v>
      </c>
      <c r="K279" s="27">
        <v>131.68</v>
      </c>
      <c r="L279" s="84">
        <v>146.31</v>
      </c>
      <c r="M279" s="13">
        <f>I279*30%</f>
        <v>438.92999999999995</v>
      </c>
    </row>
    <row r="280" spans="1:17" ht="16" hidden="1" x14ac:dyDescent="0.2">
      <c r="A280" s="54">
        <v>45930</v>
      </c>
      <c r="B280" s="91">
        <v>9561</v>
      </c>
      <c r="C280" s="59" t="s">
        <v>202</v>
      </c>
      <c r="D280" s="59" t="s">
        <v>8</v>
      </c>
      <c r="E280" s="65">
        <v>10</v>
      </c>
      <c r="F280" s="33">
        <v>1</v>
      </c>
      <c r="G280" s="34">
        <v>196.43</v>
      </c>
      <c r="H280" s="69" t="s">
        <v>241</v>
      </c>
      <c r="I280" s="80">
        <v>1964.3</v>
      </c>
      <c r="J280" s="11" t="s">
        <v>210</v>
      </c>
      <c r="K280" s="21">
        <v>176.79</v>
      </c>
      <c r="L280" s="76">
        <v>196.43</v>
      </c>
      <c r="M280" s="13">
        <f t="shared" ref="M280" si="52">I280*30%</f>
        <v>589.29</v>
      </c>
      <c r="Q280" s="22">
        <v>10.8</v>
      </c>
    </row>
    <row r="281" spans="1:17" ht="16" hidden="1" x14ac:dyDescent="0.2">
      <c r="A281" s="54">
        <v>45930</v>
      </c>
      <c r="B281" s="91">
        <v>9564</v>
      </c>
      <c r="C281" s="59" t="s">
        <v>203</v>
      </c>
      <c r="D281" s="59" t="s">
        <v>7</v>
      </c>
      <c r="E281" s="65">
        <v>10</v>
      </c>
      <c r="F281" s="33">
        <v>1</v>
      </c>
      <c r="G281" s="34">
        <v>171.43</v>
      </c>
      <c r="H281" s="69" t="s">
        <v>241</v>
      </c>
      <c r="I281" s="80">
        <v>1714.3</v>
      </c>
      <c r="J281" s="11" t="s">
        <v>210</v>
      </c>
      <c r="K281" s="19">
        <v>154.29</v>
      </c>
      <c r="L281" s="76">
        <v>171.43</v>
      </c>
      <c r="M281" s="13">
        <f t="shared" ref="M281:M282" si="53">I281*30%</f>
        <v>514.29</v>
      </c>
    </row>
    <row r="282" spans="1:17" ht="16" hidden="1" x14ac:dyDescent="0.2">
      <c r="A282" s="54">
        <v>45913</v>
      </c>
      <c r="B282" s="91">
        <v>8575</v>
      </c>
      <c r="C282" s="59" t="s">
        <v>109</v>
      </c>
      <c r="D282" s="59" t="s">
        <v>10</v>
      </c>
      <c r="E282" s="65">
        <v>10</v>
      </c>
      <c r="F282" s="33">
        <v>1</v>
      </c>
      <c r="G282" s="34">
        <v>77.86</v>
      </c>
      <c r="H282" s="72" t="s">
        <v>173</v>
      </c>
      <c r="I282" s="79">
        <v>778.6</v>
      </c>
      <c r="J282" s="11" t="s">
        <v>210</v>
      </c>
      <c r="K282" s="21">
        <v>69.290000000000006</v>
      </c>
      <c r="L282" s="76">
        <v>77.86</v>
      </c>
      <c r="M282" s="12">
        <f t="shared" si="53"/>
        <v>233.57999999999998</v>
      </c>
    </row>
    <row r="283" spans="1:17" hidden="1" x14ac:dyDescent="0.2">
      <c r="A283" s="54">
        <v>45906</v>
      </c>
      <c r="B283" s="91">
        <v>8160</v>
      </c>
      <c r="C283" s="59" t="s">
        <v>204</v>
      </c>
      <c r="D283" s="59" t="s">
        <v>2</v>
      </c>
      <c r="E283" s="65">
        <v>30</v>
      </c>
      <c r="F283" s="33">
        <v>0</v>
      </c>
      <c r="G283" s="34">
        <v>12</v>
      </c>
      <c r="I283" s="79">
        <v>360</v>
      </c>
      <c r="J283" s="11" t="s">
        <v>210</v>
      </c>
      <c r="K283" s="6">
        <v>12.6</v>
      </c>
      <c r="L283" s="76">
        <v>14</v>
      </c>
      <c r="M283" s="12">
        <v>0</v>
      </c>
    </row>
    <row r="284" spans="1:17" hidden="1" x14ac:dyDescent="0.2">
      <c r="A284" s="54">
        <v>45920</v>
      </c>
      <c r="B284" s="91">
        <v>8978</v>
      </c>
      <c r="C284" s="59" t="s">
        <v>110</v>
      </c>
      <c r="D284" s="59" t="s">
        <v>2</v>
      </c>
      <c r="E284" s="65">
        <v>10</v>
      </c>
      <c r="F284" s="33">
        <v>0</v>
      </c>
      <c r="G284" s="34">
        <v>15.12</v>
      </c>
      <c r="I284" s="79">
        <v>151.19999999999999</v>
      </c>
      <c r="J284" s="11" t="s">
        <v>210</v>
      </c>
      <c r="K284" s="6">
        <v>12.6</v>
      </c>
      <c r="L284" s="76">
        <v>14</v>
      </c>
      <c r="M284" s="12">
        <v>0</v>
      </c>
    </row>
    <row r="285" spans="1:17" hidden="1" x14ac:dyDescent="0.2">
      <c r="A285" s="54">
        <v>45926</v>
      </c>
      <c r="B285" s="91">
        <v>9298</v>
      </c>
      <c r="C285" s="59" t="s">
        <v>110</v>
      </c>
      <c r="D285" s="59" t="s">
        <v>2</v>
      </c>
      <c r="E285" s="65">
        <v>10</v>
      </c>
      <c r="F285" s="33">
        <v>0</v>
      </c>
      <c r="G285" s="34">
        <v>15.12</v>
      </c>
      <c r="I285" s="79">
        <v>151.19999999999999</v>
      </c>
      <c r="J285" s="11" t="s">
        <v>210</v>
      </c>
      <c r="K285" s="6">
        <v>12.6</v>
      </c>
      <c r="L285" s="76">
        <v>14</v>
      </c>
      <c r="M285" s="12">
        <v>0</v>
      </c>
    </row>
    <row r="286" spans="1:17" hidden="1" x14ac:dyDescent="0.2">
      <c r="A286" s="54">
        <v>45904</v>
      </c>
      <c r="B286" s="91">
        <v>7966</v>
      </c>
      <c r="C286" s="59" t="s">
        <v>110</v>
      </c>
      <c r="D286" s="59" t="s">
        <v>2</v>
      </c>
      <c r="E286" s="65">
        <v>5</v>
      </c>
      <c r="F286" s="33">
        <v>0</v>
      </c>
      <c r="G286" s="34">
        <v>15.12</v>
      </c>
      <c r="I286" s="79">
        <v>75.599999999999994</v>
      </c>
      <c r="J286" s="11" t="s">
        <v>210</v>
      </c>
      <c r="K286" s="6">
        <v>12.6</v>
      </c>
      <c r="L286" s="76">
        <v>14</v>
      </c>
      <c r="M286" s="12">
        <v>0</v>
      </c>
    </row>
    <row r="287" spans="1:17" hidden="1" x14ac:dyDescent="0.2">
      <c r="A287" s="54">
        <v>45902</v>
      </c>
      <c r="B287" s="91">
        <v>7842</v>
      </c>
      <c r="C287" s="59" t="s">
        <v>110</v>
      </c>
      <c r="D287" s="59" t="s">
        <v>2</v>
      </c>
      <c r="E287" s="65">
        <v>10</v>
      </c>
      <c r="F287" s="33">
        <v>0</v>
      </c>
      <c r="G287" s="34">
        <v>15.12</v>
      </c>
      <c r="I287" s="79">
        <v>151.22</v>
      </c>
      <c r="J287" s="11" t="s">
        <v>210</v>
      </c>
      <c r="K287" s="6">
        <v>12.6</v>
      </c>
      <c r="L287" s="76">
        <v>14</v>
      </c>
      <c r="M287" s="12">
        <v>0</v>
      </c>
    </row>
    <row r="288" spans="1:17" hidden="1" x14ac:dyDescent="0.2">
      <c r="A288" s="54">
        <v>45910</v>
      </c>
      <c r="B288" s="91">
        <v>8344</v>
      </c>
      <c r="C288" s="59" t="s">
        <v>110</v>
      </c>
      <c r="D288" s="59" t="s">
        <v>2</v>
      </c>
      <c r="E288" s="65">
        <v>15</v>
      </c>
      <c r="F288" s="33">
        <v>0</v>
      </c>
      <c r="G288" s="34">
        <v>15.12</v>
      </c>
      <c r="I288" s="79">
        <v>226.8</v>
      </c>
      <c r="J288" s="11" t="s">
        <v>210</v>
      </c>
      <c r="K288" s="6">
        <v>12.6</v>
      </c>
      <c r="L288" s="76">
        <v>14</v>
      </c>
      <c r="M288" s="12">
        <v>0</v>
      </c>
    </row>
    <row r="289" spans="1:13" hidden="1" x14ac:dyDescent="0.2">
      <c r="A289" s="54">
        <v>45908</v>
      </c>
      <c r="B289" s="91">
        <v>8166</v>
      </c>
      <c r="C289" s="59" t="s">
        <v>110</v>
      </c>
      <c r="D289" s="59" t="s">
        <v>2</v>
      </c>
      <c r="E289" s="65">
        <v>10</v>
      </c>
      <c r="F289" s="33">
        <v>0</v>
      </c>
      <c r="G289" s="34">
        <v>15.12</v>
      </c>
      <c r="I289" s="79">
        <v>151.19999999999999</v>
      </c>
      <c r="J289" s="11" t="s">
        <v>210</v>
      </c>
      <c r="K289" s="6">
        <v>12.6</v>
      </c>
      <c r="L289" s="76">
        <v>14</v>
      </c>
      <c r="M289" s="12">
        <v>0</v>
      </c>
    </row>
    <row r="290" spans="1:13" hidden="1" x14ac:dyDescent="0.2">
      <c r="A290" s="54">
        <v>45911</v>
      </c>
      <c r="B290" s="91">
        <v>8402</v>
      </c>
      <c r="C290" s="59" t="s">
        <v>110</v>
      </c>
      <c r="D290" s="59" t="s">
        <v>2</v>
      </c>
      <c r="E290" s="65">
        <v>10</v>
      </c>
      <c r="F290" s="33">
        <v>0</v>
      </c>
      <c r="G290" s="34">
        <v>15.12</v>
      </c>
      <c r="I290" s="79">
        <v>151.19999999999999</v>
      </c>
      <c r="J290" s="11" t="s">
        <v>210</v>
      </c>
      <c r="K290" s="6">
        <v>12.6</v>
      </c>
      <c r="L290" s="76">
        <v>14</v>
      </c>
      <c r="M290" s="12">
        <v>0</v>
      </c>
    </row>
    <row r="291" spans="1:13" hidden="1" x14ac:dyDescent="0.2">
      <c r="A291" s="54">
        <v>45929</v>
      </c>
      <c r="B291" s="91">
        <v>9441</v>
      </c>
      <c r="C291" s="59" t="s">
        <v>110</v>
      </c>
      <c r="D291" s="59" t="s">
        <v>2</v>
      </c>
      <c r="E291" s="65">
        <v>15</v>
      </c>
      <c r="F291" s="33">
        <v>0</v>
      </c>
      <c r="G291" s="34">
        <v>15.12</v>
      </c>
      <c r="I291" s="79">
        <v>226.8</v>
      </c>
      <c r="J291" s="11" t="s">
        <v>210</v>
      </c>
      <c r="K291" s="6">
        <v>12.6</v>
      </c>
      <c r="L291" s="76">
        <v>14</v>
      </c>
      <c r="M291" s="12">
        <v>0</v>
      </c>
    </row>
    <row r="292" spans="1:13" hidden="1" x14ac:dyDescent="0.2">
      <c r="A292" s="54">
        <v>45915</v>
      </c>
      <c r="B292" s="91">
        <v>8620</v>
      </c>
      <c r="C292" s="59" t="s">
        <v>110</v>
      </c>
      <c r="D292" s="59" t="s">
        <v>2</v>
      </c>
      <c r="E292" s="65">
        <v>10</v>
      </c>
      <c r="F292" s="33">
        <v>0</v>
      </c>
      <c r="G292" s="34">
        <v>15.12</v>
      </c>
      <c r="I292" s="79">
        <v>151.19999999999999</v>
      </c>
      <c r="J292" s="11" t="s">
        <v>210</v>
      </c>
      <c r="K292" s="6">
        <v>12.6</v>
      </c>
      <c r="L292" s="76">
        <v>14</v>
      </c>
      <c r="M292" s="12">
        <v>0</v>
      </c>
    </row>
    <row r="293" spans="1:13" ht="16" hidden="1" x14ac:dyDescent="0.2">
      <c r="A293" s="54">
        <v>45926</v>
      </c>
      <c r="B293" s="91">
        <v>9324</v>
      </c>
      <c r="C293" s="59" t="s">
        <v>164</v>
      </c>
      <c r="D293" s="59" t="s">
        <v>7</v>
      </c>
      <c r="E293" s="65">
        <v>10</v>
      </c>
      <c r="F293" s="33">
        <v>1</v>
      </c>
      <c r="G293" s="34">
        <v>171.43</v>
      </c>
      <c r="H293" s="69" t="s">
        <v>127</v>
      </c>
      <c r="I293" s="80">
        <v>1714.3</v>
      </c>
      <c r="J293" s="11" t="s">
        <v>210</v>
      </c>
      <c r="K293" s="19">
        <v>154.29</v>
      </c>
      <c r="L293" s="76">
        <v>171.43</v>
      </c>
      <c r="M293" s="13">
        <f>I293*40%</f>
        <v>685.72</v>
      </c>
    </row>
    <row r="294" spans="1:13" ht="16" hidden="1" x14ac:dyDescent="0.2">
      <c r="A294" s="54">
        <v>45912</v>
      </c>
      <c r="B294" s="91">
        <v>8532</v>
      </c>
      <c r="C294" s="59" t="s">
        <v>164</v>
      </c>
      <c r="D294" s="59" t="s">
        <v>7</v>
      </c>
      <c r="E294" s="65">
        <v>10</v>
      </c>
      <c r="F294" s="33">
        <v>1</v>
      </c>
      <c r="G294" s="34">
        <v>171.43</v>
      </c>
      <c r="H294" s="69" t="s">
        <v>127</v>
      </c>
      <c r="I294" s="80">
        <v>1714.3</v>
      </c>
      <c r="J294" s="11" t="s">
        <v>210</v>
      </c>
      <c r="K294" s="19">
        <v>154.29</v>
      </c>
      <c r="L294" s="76">
        <v>171.43</v>
      </c>
      <c r="M294" s="13">
        <f t="shared" ref="M294:M295" si="54">I294*40%</f>
        <v>685.72</v>
      </c>
    </row>
    <row r="295" spans="1:13" ht="16" hidden="1" x14ac:dyDescent="0.2">
      <c r="A295" s="54">
        <v>45930</v>
      </c>
      <c r="B295" s="91">
        <v>9556</v>
      </c>
      <c r="C295" s="59" t="s">
        <v>164</v>
      </c>
      <c r="D295" s="59" t="s">
        <v>101</v>
      </c>
      <c r="E295" s="65">
        <v>3</v>
      </c>
      <c r="F295" s="33">
        <v>0</v>
      </c>
      <c r="G295" s="34">
        <v>142.86000000000001</v>
      </c>
      <c r="H295" s="69" t="s">
        <v>127</v>
      </c>
      <c r="I295" s="79">
        <v>428.58</v>
      </c>
      <c r="J295" s="11" t="s">
        <v>210</v>
      </c>
      <c r="K295" s="29">
        <v>128.57142857142901</v>
      </c>
      <c r="L295" s="84">
        <v>142.86000000000001</v>
      </c>
      <c r="M295" s="13">
        <f t="shared" si="54"/>
        <v>171.43200000000002</v>
      </c>
    </row>
    <row r="296" spans="1:13" ht="16" hidden="1" x14ac:dyDescent="0.2">
      <c r="A296" s="54">
        <v>45913</v>
      </c>
      <c r="B296" s="91">
        <v>8582</v>
      </c>
      <c r="C296" s="59" t="s">
        <v>176</v>
      </c>
      <c r="D296" s="59" t="s">
        <v>94</v>
      </c>
      <c r="E296" s="65">
        <v>10</v>
      </c>
      <c r="F296" s="33">
        <v>0</v>
      </c>
      <c r="G296" s="34">
        <v>146.31</v>
      </c>
      <c r="H296" s="72" t="s">
        <v>143</v>
      </c>
      <c r="I296" s="80">
        <v>1463.1</v>
      </c>
      <c r="J296" s="11" t="s">
        <v>210</v>
      </c>
      <c r="K296" s="27">
        <v>131.68</v>
      </c>
      <c r="L296" s="84">
        <v>146.31</v>
      </c>
      <c r="M296" s="13">
        <f t="shared" ref="M296:M301" si="55">I296*40%</f>
        <v>585.24</v>
      </c>
    </row>
    <row r="297" spans="1:13" ht="16" hidden="1" x14ac:dyDescent="0.2">
      <c r="A297" s="54">
        <v>45926</v>
      </c>
      <c r="B297" s="91">
        <v>9346</v>
      </c>
      <c r="C297" s="59" t="s">
        <v>176</v>
      </c>
      <c r="D297" s="59" t="s">
        <v>94</v>
      </c>
      <c r="E297" s="65">
        <v>10</v>
      </c>
      <c r="F297" s="33">
        <v>0</v>
      </c>
      <c r="G297" s="34">
        <v>146.31</v>
      </c>
      <c r="H297" s="72" t="s">
        <v>143</v>
      </c>
      <c r="I297" s="80">
        <v>1463.1</v>
      </c>
      <c r="J297" s="11" t="s">
        <v>210</v>
      </c>
      <c r="K297" s="27">
        <v>131.68</v>
      </c>
      <c r="L297" s="84">
        <v>146.31</v>
      </c>
      <c r="M297" s="13">
        <f t="shared" si="55"/>
        <v>585.24</v>
      </c>
    </row>
    <row r="298" spans="1:13" ht="16" hidden="1" x14ac:dyDescent="0.2">
      <c r="A298" s="54">
        <v>45926</v>
      </c>
      <c r="B298" s="91">
        <v>9346</v>
      </c>
      <c r="C298" s="59" t="s">
        <v>176</v>
      </c>
      <c r="D298" s="59" t="s">
        <v>154</v>
      </c>
      <c r="E298" s="65">
        <v>10</v>
      </c>
      <c r="F298" s="33">
        <v>1</v>
      </c>
      <c r="G298" s="34">
        <v>361.43</v>
      </c>
      <c r="H298" s="72" t="s">
        <v>143</v>
      </c>
      <c r="I298" s="80">
        <v>3614.3</v>
      </c>
      <c r="J298" s="11" t="s">
        <v>210</v>
      </c>
      <c r="K298" s="21">
        <v>325.28571428571399</v>
      </c>
      <c r="L298" s="76">
        <v>361.43</v>
      </c>
      <c r="M298" s="13">
        <f t="shared" si="55"/>
        <v>1445.7200000000003</v>
      </c>
    </row>
    <row r="299" spans="1:13" ht="16" hidden="1" x14ac:dyDescent="0.2">
      <c r="A299" s="54">
        <v>45911</v>
      </c>
      <c r="B299" s="91">
        <v>8445</v>
      </c>
      <c r="C299" s="59" t="s">
        <v>176</v>
      </c>
      <c r="D299" s="59" t="s">
        <v>154</v>
      </c>
      <c r="E299" s="65">
        <v>10</v>
      </c>
      <c r="F299" s="33">
        <v>1</v>
      </c>
      <c r="G299" s="34">
        <v>361.43</v>
      </c>
      <c r="H299" s="72" t="s">
        <v>143</v>
      </c>
      <c r="I299" s="80">
        <v>3614.3</v>
      </c>
      <c r="J299" s="11" t="s">
        <v>210</v>
      </c>
      <c r="K299" s="21">
        <v>325.28571428571399</v>
      </c>
      <c r="L299" s="76">
        <v>361.43</v>
      </c>
      <c r="M299" s="13">
        <f t="shared" si="55"/>
        <v>1445.7200000000003</v>
      </c>
    </row>
    <row r="300" spans="1:13" ht="16" hidden="1" x14ac:dyDescent="0.2">
      <c r="A300" s="54">
        <v>45926</v>
      </c>
      <c r="B300" s="91">
        <v>9346</v>
      </c>
      <c r="C300" s="59" t="s">
        <v>176</v>
      </c>
      <c r="D300" s="59" t="s">
        <v>12</v>
      </c>
      <c r="E300" s="65">
        <v>20</v>
      </c>
      <c r="F300" s="33">
        <v>2</v>
      </c>
      <c r="G300" s="34">
        <v>102.14</v>
      </c>
      <c r="H300" s="72" t="s">
        <v>143</v>
      </c>
      <c r="I300" s="80">
        <v>2042.8</v>
      </c>
      <c r="J300" s="11" t="s">
        <v>210</v>
      </c>
      <c r="K300" s="19">
        <v>92.86</v>
      </c>
      <c r="L300" s="76">
        <v>102.14</v>
      </c>
      <c r="M300" s="13">
        <f t="shared" si="55"/>
        <v>817.12</v>
      </c>
    </row>
    <row r="301" spans="1:13" ht="16" hidden="1" x14ac:dyDescent="0.2">
      <c r="A301" s="54">
        <v>45911</v>
      </c>
      <c r="B301" s="91">
        <v>8445</v>
      </c>
      <c r="C301" s="59" t="s">
        <v>176</v>
      </c>
      <c r="D301" s="59" t="s">
        <v>12</v>
      </c>
      <c r="E301" s="65">
        <v>10</v>
      </c>
      <c r="F301" s="33">
        <v>1</v>
      </c>
      <c r="G301" s="34">
        <v>102.14</v>
      </c>
      <c r="H301" s="72" t="s">
        <v>143</v>
      </c>
      <c r="I301" s="80">
        <v>1021.4</v>
      </c>
      <c r="J301" s="11" t="s">
        <v>210</v>
      </c>
      <c r="K301" s="19">
        <v>92.86</v>
      </c>
      <c r="L301" s="76">
        <v>102.14</v>
      </c>
      <c r="M301" s="13">
        <f t="shared" si="55"/>
        <v>408.56</v>
      </c>
    </row>
    <row r="302" spans="1:13" ht="16" hidden="1" x14ac:dyDescent="0.2">
      <c r="A302" s="54">
        <v>45913</v>
      </c>
      <c r="B302" s="91">
        <v>8582</v>
      </c>
      <c r="C302" s="59" t="s">
        <v>176</v>
      </c>
      <c r="D302" s="59" t="s">
        <v>115</v>
      </c>
      <c r="E302" s="65">
        <v>2</v>
      </c>
      <c r="F302" s="33">
        <v>0</v>
      </c>
      <c r="G302" s="34">
        <v>157.13999999999999</v>
      </c>
      <c r="H302" s="72" t="s">
        <v>143</v>
      </c>
      <c r="I302" s="79">
        <v>314.27999999999997</v>
      </c>
      <c r="J302" s="11" t="s">
        <v>210</v>
      </c>
      <c r="K302" s="27">
        <v>141.43</v>
      </c>
      <c r="L302" s="84">
        <v>157.13999999999999</v>
      </c>
      <c r="M302" s="13">
        <f t="shared" ref="M302" si="56">I302*30%</f>
        <v>94.283999999999992</v>
      </c>
    </row>
    <row r="303" spans="1:13" hidden="1" x14ac:dyDescent="0.2">
      <c r="A303" s="54">
        <v>45930</v>
      </c>
      <c r="B303" s="91">
        <v>9560</v>
      </c>
      <c r="C303" s="59" t="s">
        <v>205</v>
      </c>
      <c r="D303" s="59" t="s">
        <v>153</v>
      </c>
      <c r="E303" s="65">
        <v>20</v>
      </c>
      <c r="F303" s="33">
        <v>2</v>
      </c>
      <c r="G303" s="34">
        <v>206.25</v>
      </c>
      <c r="H303" s="69" t="s">
        <v>242</v>
      </c>
      <c r="I303" s="80">
        <v>4125</v>
      </c>
      <c r="J303" s="11" t="s">
        <v>210</v>
      </c>
      <c r="K303" s="40">
        <v>185.5</v>
      </c>
      <c r="L303" s="86">
        <v>206.25</v>
      </c>
      <c r="M303" s="13">
        <f>I303*30%</f>
        <v>1237.5</v>
      </c>
    </row>
    <row r="304" spans="1:13" hidden="1" x14ac:dyDescent="0.2">
      <c r="A304" s="54">
        <v>45930</v>
      </c>
      <c r="B304" s="91">
        <v>9560</v>
      </c>
      <c r="C304" s="59" t="s">
        <v>205</v>
      </c>
      <c r="D304" s="59" t="s">
        <v>192</v>
      </c>
      <c r="E304" s="65">
        <v>10</v>
      </c>
      <c r="F304" s="33">
        <v>1</v>
      </c>
      <c r="G304" s="34">
        <v>151.43</v>
      </c>
      <c r="H304" s="69" t="s">
        <v>242</v>
      </c>
      <c r="I304" s="80">
        <v>1514.3</v>
      </c>
      <c r="J304" s="11" t="s">
        <v>210</v>
      </c>
      <c r="M304" s="13">
        <f>I304*30%</f>
        <v>454.28999999999996</v>
      </c>
    </row>
    <row r="305" spans="1:17" ht="16" hidden="1" x14ac:dyDescent="0.2">
      <c r="A305" s="54">
        <v>45904</v>
      </c>
      <c r="B305" s="91">
        <v>7988</v>
      </c>
      <c r="C305" s="59" t="s">
        <v>206</v>
      </c>
      <c r="D305" s="59" t="s">
        <v>7</v>
      </c>
      <c r="E305" s="65">
        <v>5</v>
      </c>
      <c r="F305" s="33">
        <v>0</v>
      </c>
      <c r="G305" s="34">
        <v>171.43</v>
      </c>
      <c r="H305" s="69" t="s">
        <v>243</v>
      </c>
      <c r="I305" s="79">
        <v>857.15</v>
      </c>
      <c r="J305" s="11" t="s">
        <v>210</v>
      </c>
      <c r="K305" s="19">
        <v>154.29</v>
      </c>
      <c r="L305" s="76">
        <v>171.43</v>
      </c>
      <c r="M305" s="13">
        <f t="shared" ref="M305:M309" si="57">I305*30%</f>
        <v>257.14499999999998</v>
      </c>
    </row>
    <row r="306" spans="1:17" ht="16" hidden="1" x14ac:dyDescent="0.2">
      <c r="A306" s="54">
        <v>45913</v>
      </c>
      <c r="B306" s="91">
        <v>8574</v>
      </c>
      <c r="C306" s="59" t="s">
        <v>206</v>
      </c>
      <c r="D306" s="59" t="s">
        <v>94</v>
      </c>
      <c r="E306" s="65">
        <v>3</v>
      </c>
      <c r="F306" s="33">
        <v>0</v>
      </c>
      <c r="G306" s="34">
        <v>146.31</v>
      </c>
      <c r="H306" s="69" t="s">
        <v>243</v>
      </c>
      <c r="I306" s="79">
        <v>438.93</v>
      </c>
      <c r="J306" s="11" t="s">
        <v>210</v>
      </c>
      <c r="K306" s="27">
        <v>131.68</v>
      </c>
      <c r="L306" s="84">
        <v>146.31</v>
      </c>
      <c r="M306" s="13">
        <f t="shared" si="57"/>
        <v>131.679</v>
      </c>
    </row>
    <row r="307" spans="1:17" ht="16" hidden="1" x14ac:dyDescent="0.2">
      <c r="A307" s="54">
        <v>45913</v>
      </c>
      <c r="B307" s="91">
        <v>8574</v>
      </c>
      <c r="C307" s="59" t="s">
        <v>206</v>
      </c>
      <c r="D307" s="59" t="s">
        <v>94</v>
      </c>
      <c r="E307" s="65">
        <v>2</v>
      </c>
      <c r="F307" s="33">
        <v>0</v>
      </c>
      <c r="G307" s="34">
        <v>146.31</v>
      </c>
      <c r="H307" s="69" t="s">
        <v>243</v>
      </c>
      <c r="I307" s="79">
        <v>292.62</v>
      </c>
      <c r="J307" s="11" t="s">
        <v>210</v>
      </c>
      <c r="K307" s="27">
        <v>131.68</v>
      </c>
      <c r="L307" s="84">
        <v>146.31</v>
      </c>
      <c r="M307" s="13">
        <f t="shared" si="57"/>
        <v>87.786000000000001</v>
      </c>
    </row>
    <row r="308" spans="1:17" ht="16" hidden="1" x14ac:dyDescent="0.2">
      <c r="A308" s="54">
        <v>45913</v>
      </c>
      <c r="B308" s="91">
        <v>8574</v>
      </c>
      <c r="C308" s="59" t="s">
        <v>206</v>
      </c>
      <c r="D308" s="59" t="s">
        <v>115</v>
      </c>
      <c r="E308" s="65">
        <v>5</v>
      </c>
      <c r="F308" s="33">
        <v>0</v>
      </c>
      <c r="G308" s="34">
        <v>157.13999999999999</v>
      </c>
      <c r="H308" s="69" t="s">
        <v>243</v>
      </c>
      <c r="I308" s="79">
        <v>785.7</v>
      </c>
      <c r="J308" s="11" t="s">
        <v>210</v>
      </c>
      <c r="K308" s="27">
        <v>141.43</v>
      </c>
      <c r="L308" s="84">
        <v>157.13999999999999</v>
      </c>
      <c r="M308" s="13">
        <f t="shared" si="57"/>
        <v>235.71</v>
      </c>
    </row>
    <row r="309" spans="1:17" ht="16" hidden="1" x14ac:dyDescent="0.2">
      <c r="A309" s="54">
        <v>45904</v>
      </c>
      <c r="B309" s="91">
        <v>7988</v>
      </c>
      <c r="C309" s="59" t="s">
        <v>206</v>
      </c>
      <c r="D309" s="59" t="s">
        <v>3</v>
      </c>
      <c r="E309" s="65">
        <v>5</v>
      </c>
      <c r="F309" s="33">
        <v>0</v>
      </c>
      <c r="G309" s="34">
        <v>155.74</v>
      </c>
      <c r="H309" s="69" t="s">
        <v>243</v>
      </c>
      <c r="I309" s="79">
        <v>778.7</v>
      </c>
      <c r="J309" s="11" t="s">
        <v>210</v>
      </c>
      <c r="K309" s="19">
        <v>140.13999999999999</v>
      </c>
      <c r="L309" s="76">
        <v>155.71</v>
      </c>
      <c r="M309" s="13">
        <f t="shared" si="57"/>
        <v>233.61</v>
      </c>
    </row>
    <row r="310" spans="1:17" ht="16" hidden="1" x14ac:dyDescent="0.2">
      <c r="A310" s="54">
        <v>45926</v>
      </c>
      <c r="B310" s="91">
        <v>9325</v>
      </c>
      <c r="C310" s="59" t="s">
        <v>166</v>
      </c>
      <c r="D310" s="59" t="s">
        <v>94</v>
      </c>
      <c r="E310" s="65">
        <v>10</v>
      </c>
      <c r="F310" s="33">
        <v>0</v>
      </c>
      <c r="G310" s="34">
        <v>146.31</v>
      </c>
      <c r="H310" s="72" t="s">
        <v>143</v>
      </c>
      <c r="I310" s="80">
        <v>1463.1</v>
      </c>
      <c r="J310" s="11" t="s">
        <v>210</v>
      </c>
      <c r="K310" s="27">
        <v>131.68</v>
      </c>
      <c r="L310" s="84">
        <v>146.31</v>
      </c>
      <c r="M310" s="13">
        <f t="shared" ref="M310:M312" si="58">I310*40%</f>
        <v>585.24</v>
      </c>
    </row>
    <row r="311" spans="1:17" ht="16" hidden="1" x14ac:dyDescent="0.2">
      <c r="A311" s="54">
        <v>45926</v>
      </c>
      <c r="B311" s="91">
        <v>9325</v>
      </c>
      <c r="C311" s="59" t="s">
        <v>166</v>
      </c>
      <c r="D311" s="59" t="s">
        <v>154</v>
      </c>
      <c r="E311" s="65">
        <v>10</v>
      </c>
      <c r="F311" s="33">
        <v>1</v>
      </c>
      <c r="G311" s="34">
        <v>361.43</v>
      </c>
      <c r="H311" s="72" t="s">
        <v>143</v>
      </c>
      <c r="I311" s="80">
        <v>3614.3</v>
      </c>
      <c r="J311" s="11" t="s">
        <v>210</v>
      </c>
      <c r="K311" s="21">
        <v>325.28571428571399</v>
      </c>
      <c r="L311" s="76">
        <v>361.43</v>
      </c>
      <c r="M311" s="13">
        <f t="shared" si="58"/>
        <v>1445.7200000000003</v>
      </c>
    </row>
    <row r="312" spans="1:17" ht="16" hidden="1" x14ac:dyDescent="0.2">
      <c r="A312" s="54">
        <v>45926</v>
      </c>
      <c r="B312" s="91">
        <v>9325</v>
      </c>
      <c r="C312" s="59" t="s">
        <v>166</v>
      </c>
      <c r="D312" s="59" t="s">
        <v>12</v>
      </c>
      <c r="E312" s="65">
        <v>20</v>
      </c>
      <c r="F312" s="33">
        <v>2</v>
      </c>
      <c r="G312" s="34">
        <v>102.14</v>
      </c>
      <c r="H312" s="72" t="s">
        <v>143</v>
      </c>
      <c r="I312" s="80">
        <v>2042.8</v>
      </c>
      <c r="J312" s="11" t="s">
        <v>210</v>
      </c>
      <c r="K312" s="19">
        <v>92.86</v>
      </c>
      <c r="L312" s="76">
        <v>102.14</v>
      </c>
      <c r="M312" s="13">
        <f t="shared" si="58"/>
        <v>817.12</v>
      </c>
    </row>
    <row r="313" spans="1:17" ht="16" hidden="1" x14ac:dyDescent="0.2">
      <c r="A313" s="54">
        <v>45926</v>
      </c>
      <c r="B313" s="91">
        <v>9347</v>
      </c>
      <c r="C313" s="59" t="s">
        <v>207</v>
      </c>
      <c r="D313" s="59" t="s">
        <v>7</v>
      </c>
      <c r="E313" s="65">
        <v>20</v>
      </c>
      <c r="F313" s="33">
        <v>2</v>
      </c>
      <c r="G313" s="34">
        <v>171.43</v>
      </c>
      <c r="H313" s="69" t="s">
        <v>244</v>
      </c>
      <c r="I313" s="80">
        <v>3428.6</v>
      </c>
      <c r="J313" s="11" t="s">
        <v>210</v>
      </c>
      <c r="K313" s="19">
        <v>154.29</v>
      </c>
      <c r="L313" s="76">
        <v>171.43</v>
      </c>
      <c r="M313" s="13">
        <f t="shared" ref="M313" si="59">I313*30%</f>
        <v>1028.58</v>
      </c>
    </row>
    <row r="314" spans="1:17" ht="16" hidden="1" x14ac:dyDescent="0.2">
      <c r="A314" s="54">
        <v>45901</v>
      </c>
      <c r="B314" s="91">
        <v>7774</v>
      </c>
      <c r="C314" s="59" t="s">
        <v>208</v>
      </c>
      <c r="D314" s="59" t="s">
        <v>5</v>
      </c>
      <c r="E314" s="65">
        <v>5</v>
      </c>
      <c r="F314" s="33">
        <v>0</v>
      </c>
      <c r="G314" s="34">
        <v>60.94</v>
      </c>
      <c r="H314" s="69" t="s">
        <v>59</v>
      </c>
      <c r="I314" s="79">
        <v>304.7</v>
      </c>
      <c r="J314" s="11" t="s">
        <v>210</v>
      </c>
      <c r="K314" s="19">
        <v>50.79</v>
      </c>
      <c r="L314" s="76">
        <v>56.43</v>
      </c>
      <c r="M314" s="13">
        <f t="shared" ref="M314:M318" si="60">I314*30%</f>
        <v>91.41</v>
      </c>
      <c r="Q314" s="6">
        <v>23</v>
      </c>
    </row>
    <row r="315" spans="1:17" ht="16" hidden="1" x14ac:dyDescent="0.2">
      <c r="A315" s="54">
        <v>45922</v>
      </c>
      <c r="B315" s="91">
        <v>9046</v>
      </c>
      <c r="C315" s="59" t="s">
        <v>208</v>
      </c>
      <c r="D315" s="59" t="s">
        <v>5</v>
      </c>
      <c r="E315" s="65">
        <v>10</v>
      </c>
      <c r="F315" s="33">
        <v>1</v>
      </c>
      <c r="G315" s="34">
        <v>60.94</v>
      </c>
      <c r="H315" s="69" t="s">
        <v>59</v>
      </c>
      <c r="I315" s="79">
        <v>609.4</v>
      </c>
      <c r="J315" s="11" t="s">
        <v>210</v>
      </c>
      <c r="K315" s="19">
        <v>50.79</v>
      </c>
      <c r="L315" s="76">
        <v>56.43</v>
      </c>
      <c r="M315" s="13">
        <f t="shared" si="60"/>
        <v>182.82</v>
      </c>
      <c r="Q315" s="6">
        <v>23</v>
      </c>
    </row>
    <row r="316" spans="1:17" ht="16" hidden="1" x14ac:dyDescent="0.2">
      <c r="A316" s="54">
        <v>45908</v>
      </c>
      <c r="B316" s="91">
        <v>8173</v>
      </c>
      <c r="C316" s="59" t="s">
        <v>208</v>
      </c>
      <c r="D316" s="59" t="s">
        <v>5</v>
      </c>
      <c r="E316" s="65">
        <v>10</v>
      </c>
      <c r="F316" s="33">
        <v>1</v>
      </c>
      <c r="G316" s="34">
        <v>60.94</v>
      </c>
      <c r="H316" s="69" t="s">
        <v>59</v>
      </c>
      <c r="I316" s="79">
        <v>609.4</v>
      </c>
      <c r="J316" s="11" t="s">
        <v>210</v>
      </c>
      <c r="K316" s="19">
        <v>50.79</v>
      </c>
      <c r="L316" s="76">
        <v>56.43</v>
      </c>
      <c r="M316" s="13">
        <f t="shared" si="60"/>
        <v>182.82</v>
      </c>
      <c r="Q316" s="6">
        <v>23</v>
      </c>
    </row>
    <row r="317" spans="1:17" hidden="1" x14ac:dyDescent="0.2">
      <c r="A317" s="54">
        <v>45910</v>
      </c>
      <c r="B317" s="91">
        <v>8343</v>
      </c>
      <c r="C317" s="59" t="s">
        <v>208</v>
      </c>
      <c r="D317" s="59" t="s">
        <v>11</v>
      </c>
      <c r="E317" s="65">
        <v>10</v>
      </c>
      <c r="F317" s="33">
        <v>1</v>
      </c>
      <c r="G317" s="34">
        <v>50</v>
      </c>
      <c r="H317" s="69" t="s">
        <v>59</v>
      </c>
      <c r="I317" s="79">
        <v>500</v>
      </c>
      <c r="J317" s="11" t="s">
        <v>210</v>
      </c>
      <c r="K317" s="6">
        <v>45</v>
      </c>
      <c r="L317" s="76">
        <v>50</v>
      </c>
      <c r="M317" s="13">
        <f t="shared" si="60"/>
        <v>150</v>
      </c>
    </row>
    <row r="318" spans="1:17" hidden="1" x14ac:dyDescent="0.2">
      <c r="A318" s="54">
        <v>45927</v>
      </c>
      <c r="B318" s="91">
        <v>9374</v>
      </c>
      <c r="C318" s="59" t="s">
        <v>208</v>
      </c>
      <c r="D318" s="59" t="s">
        <v>11</v>
      </c>
      <c r="E318" s="65">
        <v>10</v>
      </c>
      <c r="F318" s="33">
        <v>1</v>
      </c>
      <c r="G318" s="34">
        <v>50</v>
      </c>
      <c r="H318" s="69" t="s">
        <v>59</v>
      </c>
      <c r="I318" s="79">
        <v>500</v>
      </c>
      <c r="J318" s="11" t="s">
        <v>210</v>
      </c>
      <c r="K318" s="6">
        <v>45</v>
      </c>
      <c r="L318" s="76">
        <v>50</v>
      </c>
      <c r="M318" s="13">
        <f t="shared" si="60"/>
        <v>150</v>
      </c>
    </row>
    <row r="319" spans="1:17" ht="16" hidden="1" x14ac:dyDescent="0.2">
      <c r="A319" s="54">
        <v>45910</v>
      </c>
      <c r="B319" s="91">
        <v>8343</v>
      </c>
      <c r="C319" s="59" t="s">
        <v>208</v>
      </c>
      <c r="D319" s="59" t="s">
        <v>12</v>
      </c>
      <c r="E319" s="65">
        <v>10</v>
      </c>
      <c r="F319" s="33">
        <v>1</v>
      </c>
      <c r="G319" s="34">
        <v>102.14</v>
      </c>
      <c r="H319" s="69" t="s">
        <v>59</v>
      </c>
      <c r="I319" s="80">
        <v>1021.4</v>
      </c>
      <c r="J319" s="11" t="s">
        <v>210</v>
      </c>
      <c r="K319" s="19">
        <v>92.86</v>
      </c>
      <c r="L319" s="76">
        <v>102.14</v>
      </c>
      <c r="M319" s="13">
        <f t="shared" ref="M319:M324" si="61">I319*40%</f>
        <v>408.56</v>
      </c>
    </row>
    <row r="320" spans="1:17" ht="16" hidden="1" x14ac:dyDescent="0.2">
      <c r="A320" s="54">
        <v>45922</v>
      </c>
      <c r="B320" s="91">
        <v>9046</v>
      </c>
      <c r="C320" s="59" t="s">
        <v>208</v>
      </c>
      <c r="D320" s="59" t="s">
        <v>12</v>
      </c>
      <c r="E320" s="65">
        <v>10</v>
      </c>
      <c r="F320" s="33">
        <v>1</v>
      </c>
      <c r="G320" s="34">
        <v>102.14</v>
      </c>
      <c r="H320" s="69" t="s">
        <v>59</v>
      </c>
      <c r="I320" s="80">
        <v>1021.4</v>
      </c>
      <c r="J320" s="11" t="s">
        <v>210</v>
      </c>
      <c r="K320" s="19">
        <v>92.86</v>
      </c>
      <c r="L320" s="76">
        <v>102.14</v>
      </c>
      <c r="M320" s="13">
        <f t="shared" si="61"/>
        <v>408.56</v>
      </c>
    </row>
    <row r="321" spans="1:17" ht="16" hidden="1" x14ac:dyDescent="0.2">
      <c r="A321" s="54">
        <v>45927</v>
      </c>
      <c r="B321" s="91">
        <v>9374</v>
      </c>
      <c r="C321" s="59" t="s">
        <v>208</v>
      </c>
      <c r="D321" s="59" t="s">
        <v>12</v>
      </c>
      <c r="E321" s="65">
        <v>10</v>
      </c>
      <c r="F321" s="33">
        <v>1</v>
      </c>
      <c r="G321" s="34">
        <v>102.14</v>
      </c>
      <c r="H321" s="69" t="s">
        <v>59</v>
      </c>
      <c r="I321" s="80">
        <v>1021.4</v>
      </c>
      <c r="J321" s="11" t="s">
        <v>210</v>
      </c>
      <c r="K321" s="19">
        <v>92.86</v>
      </c>
      <c r="L321" s="76">
        <v>102.14</v>
      </c>
      <c r="M321" s="13">
        <f t="shared" si="61"/>
        <v>408.56</v>
      </c>
    </row>
    <row r="322" spans="1:17" ht="16" hidden="1" x14ac:dyDescent="0.2">
      <c r="A322" s="54">
        <v>45917</v>
      </c>
      <c r="B322" s="91">
        <v>8785</v>
      </c>
      <c r="C322" s="59" t="s">
        <v>208</v>
      </c>
      <c r="D322" s="59" t="s">
        <v>12</v>
      </c>
      <c r="E322" s="65">
        <v>10</v>
      </c>
      <c r="F322" s="33">
        <v>1</v>
      </c>
      <c r="G322" s="34">
        <v>102.14</v>
      </c>
      <c r="H322" s="69" t="s">
        <v>59</v>
      </c>
      <c r="I322" s="80">
        <v>1021.4</v>
      </c>
      <c r="J322" s="11" t="s">
        <v>210</v>
      </c>
      <c r="K322" s="19">
        <v>92.86</v>
      </c>
      <c r="L322" s="76">
        <v>102.14</v>
      </c>
      <c r="M322" s="13">
        <f t="shared" si="61"/>
        <v>408.56</v>
      </c>
    </row>
    <row r="323" spans="1:17" ht="16" hidden="1" x14ac:dyDescent="0.2">
      <c r="A323" s="54">
        <v>45906</v>
      </c>
      <c r="B323" s="91">
        <v>8114</v>
      </c>
      <c r="C323" s="59" t="s">
        <v>208</v>
      </c>
      <c r="D323" s="59" t="s">
        <v>12</v>
      </c>
      <c r="E323" s="65">
        <v>10</v>
      </c>
      <c r="F323" s="33">
        <v>1</v>
      </c>
      <c r="G323" s="34">
        <v>102.14</v>
      </c>
      <c r="H323" s="69" t="s">
        <v>59</v>
      </c>
      <c r="I323" s="80">
        <v>1021.4</v>
      </c>
      <c r="J323" s="11" t="s">
        <v>210</v>
      </c>
      <c r="K323" s="19">
        <v>92.86</v>
      </c>
      <c r="L323" s="76">
        <v>102.14</v>
      </c>
      <c r="M323" s="13">
        <f t="shared" si="61"/>
        <v>408.56</v>
      </c>
    </row>
    <row r="324" spans="1:17" ht="16" hidden="1" x14ac:dyDescent="0.2">
      <c r="A324" s="54">
        <v>45901</v>
      </c>
      <c r="B324" s="91">
        <v>7774</v>
      </c>
      <c r="C324" s="59" t="s">
        <v>208</v>
      </c>
      <c r="D324" s="59" t="s">
        <v>12</v>
      </c>
      <c r="E324" s="65">
        <v>10</v>
      </c>
      <c r="F324" s="33">
        <v>1</v>
      </c>
      <c r="G324" s="34">
        <v>102.14</v>
      </c>
      <c r="H324" s="69" t="s">
        <v>59</v>
      </c>
      <c r="I324" s="80">
        <v>1021.4</v>
      </c>
      <c r="J324" s="11" t="s">
        <v>210</v>
      </c>
      <c r="K324" s="19">
        <v>92.86</v>
      </c>
      <c r="L324" s="76">
        <v>102.14</v>
      </c>
      <c r="M324" s="13">
        <f t="shared" si="61"/>
        <v>408.56</v>
      </c>
    </row>
    <row r="325" spans="1:17" ht="16" hidden="1" x14ac:dyDescent="0.2">
      <c r="A325" s="54">
        <v>45924</v>
      </c>
      <c r="B325" s="91">
        <v>9180</v>
      </c>
      <c r="C325" s="59" t="s">
        <v>208</v>
      </c>
      <c r="D325" s="59" t="s">
        <v>115</v>
      </c>
      <c r="E325" s="65">
        <v>2</v>
      </c>
      <c r="F325" s="33">
        <v>0</v>
      </c>
      <c r="G325" s="34">
        <v>157.13999999999999</v>
      </c>
      <c r="H325" s="69" t="s">
        <v>59</v>
      </c>
      <c r="I325" s="79">
        <v>314.27999999999997</v>
      </c>
      <c r="J325" s="11" t="s">
        <v>210</v>
      </c>
      <c r="K325" s="27">
        <v>141.43</v>
      </c>
      <c r="L325" s="84">
        <v>157.13999999999999</v>
      </c>
      <c r="M325" s="13">
        <f t="shared" ref="M325" si="62">I325*30%</f>
        <v>94.283999999999992</v>
      </c>
    </row>
    <row r="326" spans="1:17" ht="16" hidden="1" x14ac:dyDescent="0.2">
      <c r="A326" s="54">
        <v>45926</v>
      </c>
      <c r="B326" s="91">
        <v>9330</v>
      </c>
      <c r="C326" s="59" t="s">
        <v>114</v>
      </c>
      <c r="D326" s="59" t="s">
        <v>4</v>
      </c>
      <c r="E326" s="65">
        <v>5</v>
      </c>
      <c r="F326" s="33">
        <v>0</v>
      </c>
      <c r="G326" s="34">
        <v>55.79</v>
      </c>
      <c r="H326" s="69" t="s">
        <v>137</v>
      </c>
      <c r="I326" s="79">
        <v>278.95</v>
      </c>
      <c r="J326" s="11" t="s">
        <v>210</v>
      </c>
      <c r="K326" s="19">
        <v>50.21</v>
      </c>
      <c r="L326" s="76">
        <v>55.79</v>
      </c>
      <c r="M326" s="12">
        <f t="shared" ref="M326:M328" si="63">I326*30%</f>
        <v>83.684999999999988</v>
      </c>
      <c r="Q326" s="6">
        <v>23</v>
      </c>
    </row>
    <row r="327" spans="1:17" ht="16" hidden="1" x14ac:dyDescent="0.2">
      <c r="A327" s="54">
        <v>45926</v>
      </c>
      <c r="B327" s="91">
        <v>9330</v>
      </c>
      <c r="C327" s="59" t="s">
        <v>114</v>
      </c>
      <c r="D327" s="59" t="s">
        <v>5</v>
      </c>
      <c r="E327" s="65">
        <v>5</v>
      </c>
      <c r="F327" s="33">
        <v>0</v>
      </c>
      <c r="G327" s="34">
        <v>56.43</v>
      </c>
      <c r="H327" s="69" t="s">
        <v>137</v>
      </c>
      <c r="I327" s="79">
        <v>282.14999999999998</v>
      </c>
      <c r="J327" s="11" t="s">
        <v>210</v>
      </c>
      <c r="K327" s="19">
        <v>50.79</v>
      </c>
      <c r="L327" s="76">
        <v>56.43</v>
      </c>
      <c r="M327" s="13">
        <f t="shared" si="63"/>
        <v>84.644999999999996</v>
      </c>
      <c r="Q327" s="6">
        <v>23</v>
      </c>
    </row>
    <row r="328" spans="1:17" ht="16" hidden="1" x14ac:dyDescent="0.2">
      <c r="A328" s="54">
        <v>45924</v>
      </c>
      <c r="B328" s="91">
        <v>9193</v>
      </c>
      <c r="C328" s="59" t="s">
        <v>114</v>
      </c>
      <c r="D328" s="59" t="s">
        <v>3</v>
      </c>
      <c r="E328" s="65">
        <v>3</v>
      </c>
      <c r="F328" s="33">
        <v>0</v>
      </c>
      <c r="G328" s="34">
        <v>155.74</v>
      </c>
      <c r="H328" s="69" t="s">
        <v>137</v>
      </c>
      <c r="I328" s="79">
        <v>467.22</v>
      </c>
      <c r="J328" s="11" t="s">
        <v>210</v>
      </c>
      <c r="K328" s="19">
        <v>140.13999999999999</v>
      </c>
      <c r="L328" s="76">
        <v>155.71</v>
      </c>
      <c r="M328" s="13">
        <f t="shared" si="63"/>
        <v>140.166</v>
      </c>
    </row>
    <row r="329" spans="1:17" ht="16" hidden="1" x14ac:dyDescent="0.2">
      <c r="A329" s="54">
        <v>45909</v>
      </c>
      <c r="B329" s="91">
        <v>8326</v>
      </c>
      <c r="C329" s="59" t="s">
        <v>116</v>
      </c>
      <c r="D329" s="59" t="s">
        <v>12</v>
      </c>
      <c r="E329" s="65">
        <v>10</v>
      </c>
      <c r="F329" s="33">
        <v>1</v>
      </c>
      <c r="G329" s="34">
        <v>102.14</v>
      </c>
      <c r="H329" s="69" t="s">
        <v>245</v>
      </c>
      <c r="I329" s="80">
        <v>1021.4</v>
      </c>
      <c r="J329" s="11" t="s">
        <v>210</v>
      </c>
      <c r="K329" s="19">
        <v>92.86</v>
      </c>
      <c r="L329" s="76">
        <v>102.14</v>
      </c>
      <c r="M329" s="13">
        <f>I329*30%</f>
        <v>306.41999999999996</v>
      </c>
    </row>
    <row r="330" spans="1:17" ht="16" hidden="1" x14ac:dyDescent="0.2">
      <c r="A330" s="54">
        <v>45909</v>
      </c>
      <c r="B330" s="91">
        <v>8326</v>
      </c>
      <c r="C330" s="59" t="s">
        <v>116</v>
      </c>
      <c r="D330" s="59" t="s">
        <v>115</v>
      </c>
      <c r="E330" s="65">
        <v>2</v>
      </c>
      <c r="F330" s="33">
        <v>0</v>
      </c>
      <c r="G330" s="34">
        <v>157.13999999999999</v>
      </c>
      <c r="H330" s="69" t="s">
        <v>245</v>
      </c>
      <c r="I330" s="79">
        <v>314.27999999999997</v>
      </c>
      <c r="J330" s="11" t="s">
        <v>210</v>
      </c>
      <c r="K330" s="27">
        <v>141.43</v>
      </c>
      <c r="L330" s="84">
        <v>157.13999999999999</v>
      </c>
      <c r="M330" s="13">
        <f t="shared" ref="M330:M331" si="64">I330*30%</f>
        <v>94.283999999999992</v>
      </c>
    </row>
    <row r="331" spans="1:17" ht="16" hidden="1" x14ac:dyDescent="0.2">
      <c r="A331" s="54">
        <v>45909</v>
      </c>
      <c r="B331" s="91">
        <v>8326</v>
      </c>
      <c r="C331" s="59" t="s">
        <v>116</v>
      </c>
      <c r="D331" s="59" t="s">
        <v>3</v>
      </c>
      <c r="E331" s="65">
        <v>2</v>
      </c>
      <c r="F331" s="33">
        <v>0</v>
      </c>
      <c r="G331" s="34">
        <v>155.74</v>
      </c>
      <c r="H331" s="69" t="s">
        <v>245</v>
      </c>
      <c r="I331" s="79">
        <v>311.48</v>
      </c>
      <c r="J331" s="11" t="s">
        <v>210</v>
      </c>
      <c r="K331" s="19">
        <v>140.13999999999999</v>
      </c>
      <c r="L331" s="76">
        <v>155.71</v>
      </c>
      <c r="M331" s="13">
        <f t="shared" si="64"/>
        <v>93.444000000000003</v>
      </c>
    </row>
    <row r="332" spans="1:17" ht="16" hidden="1" x14ac:dyDescent="0.2">
      <c r="A332" s="54">
        <v>45906</v>
      </c>
      <c r="B332" s="91">
        <v>8159</v>
      </c>
      <c r="C332" s="59" t="s">
        <v>168</v>
      </c>
      <c r="D332" s="59" t="s">
        <v>4</v>
      </c>
      <c r="E332" s="65">
        <v>5</v>
      </c>
      <c r="F332" s="33">
        <v>0</v>
      </c>
      <c r="G332" s="34">
        <v>55.79</v>
      </c>
      <c r="H332" s="69" t="s">
        <v>246</v>
      </c>
      <c r="I332" s="79">
        <v>278.95</v>
      </c>
      <c r="J332" s="11" t="s">
        <v>210</v>
      </c>
      <c r="K332" s="19">
        <v>50.21</v>
      </c>
      <c r="L332" s="76">
        <v>55.79</v>
      </c>
      <c r="M332" s="12">
        <f t="shared" ref="M332:M335" si="65">I332*30%</f>
        <v>83.684999999999988</v>
      </c>
      <c r="Q332" s="6">
        <v>23</v>
      </c>
    </row>
    <row r="333" spans="1:17" ht="16" hidden="1" x14ac:dyDescent="0.2">
      <c r="A333" s="54">
        <v>45906</v>
      </c>
      <c r="B333" s="91">
        <v>8159</v>
      </c>
      <c r="C333" s="59" t="s">
        <v>168</v>
      </c>
      <c r="D333" s="59" t="s">
        <v>5</v>
      </c>
      <c r="E333" s="65">
        <v>10</v>
      </c>
      <c r="F333" s="33">
        <v>0</v>
      </c>
      <c r="G333" s="34">
        <v>56.43</v>
      </c>
      <c r="H333" s="69" t="s">
        <v>246</v>
      </c>
      <c r="I333" s="79">
        <v>564.29999999999995</v>
      </c>
      <c r="J333" s="11" t="s">
        <v>210</v>
      </c>
      <c r="K333" s="19">
        <v>50.79</v>
      </c>
      <c r="L333" s="76">
        <v>56.43</v>
      </c>
      <c r="M333" s="13">
        <f t="shared" si="65"/>
        <v>169.29</v>
      </c>
      <c r="Q333" s="6">
        <v>23</v>
      </c>
    </row>
    <row r="334" spans="1:17" ht="16" hidden="1" x14ac:dyDescent="0.2">
      <c r="A334" s="54">
        <v>45906</v>
      </c>
      <c r="B334" s="91">
        <v>8159</v>
      </c>
      <c r="C334" s="59" t="s">
        <v>168</v>
      </c>
      <c r="D334" s="59" t="s">
        <v>88</v>
      </c>
      <c r="E334" s="65">
        <v>3</v>
      </c>
      <c r="F334" s="33">
        <v>0</v>
      </c>
      <c r="G334" s="34">
        <v>64.290000000000006</v>
      </c>
      <c r="H334" s="69" t="s">
        <v>246</v>
      </c>
      <c r="I334" s="79">
        <v>192.87</v>
      </c>
      <c r="J334" s="11" t="s">
        <v>210</v>
      </c>
      <c r="K334" s="28">
        <v>57.86</v>
      </c>
      <c r="L334" s="83">
        <v>64.290000000000006</v>
      </c>
      <c r="M334" s="12">
        <f t="shared" si="65"/>
        <v>57.860999999999997</v>
      </c>
    </row>
    <row r="335" spans="1:17" ht="16" hidden="1" x14ac:dyDescent="0.2">
      <c r="A335" s="54">
        <v>45906</v>
      </c>
      <c r="B335" s="91">
        <v>8159</v>
      </c>
      <c r="C335" s="59" t="s">
        <v>168</v>
      </c>
      <c r="D335" s="59" t="s">
        <v>10</v>
      </c>
      <c r="E335" s="65">
        <v>5</v>
      </c>
      <c r="F335" s="33">
        <v>0</v>
      </c>
      <c r="G335" s="34">
        <v>77.86</v>
      </c>
      <c r="H335" s="69" t="s">
        <v>246</v>
      </c>
      <c r="I335" s="79">
        <v>389.3</v>
      </c>
      <c r="J335" s="11" t="s">
        <v>210</v>
      </c>
      <c r="K335" s="21">
        <v>69.290000000000006</v>
      </c>
      <c r="L335" s="76">
        <v>77.86</v>
      </c>
      <c r="M335" s="12">
        <f t="shared" si="65"/>
        <v>116.78999999999999</v>
      </c>
    </row>
    <row r="336" spans="1:17" hidden="1" x14ac:dyDescent="0.2">
      <c r="A336" s="54">
        <v>45906</v>
      </c>
      <c r="B336" s="91">
        <v>8159</v>
      </c>
      <c r="C336" s="59" t="s">
        <v>168</v>
      </c>
      <c r="D336" s="59" t="s">
        <v>209</v>
      </c>
      <c r="E336" s="65">
        <v>3</v>
      </c>
      <c r="F336" s="33">
        <v>0</v>
      </c>
      <c r="G336" s="34">
        <v>297</v>
      </c>
      <c r="H336" s="69" t="s">
        <v>246</v>
      </c>
      <c r="I336" s="79">
        <v>891</v>
      </c>
      <c r="J336" s="11" t="s">
        <v>210</v>
      </c>
      <c r="M336" s="13">
        <f>I336*30%</f>
        <v>267.3</v>
      </c>
    </row>
    <row r="337" spans="1:13" hidden="1" x14ac:dyDescent="0.2">
      <c r="A337" s="54">
        <v>45906</v>
      </c>
      <c r="B337" s="91">
        <v>8159</v>
      </c>
      <c r="C337" s="59" t="s">
        <v>168</v>
      </c>
      <c r="D337" s="59" t="s">
        <v>151</v>
      </c>
      <c r="E337" s="65">
        <v>3</v>
      </c>
      <c r="F337" s="33">
        <v>0</v>
      </c>
      <c r="G337" s="34">
        <v>396</v>
      </c>
      <c r="H337" s="69" t="s">
        <v>246</v>
      </c>
      <c r="I337" s="80">
        <v>1188</v>
      </c>
      <c r="J337" s="11" t="s">
        <v>210</v>
      </c>
      <c r="M337" s="13">
        <f>I337*30%</f>
        <v>356.4</v>
      </c>
    </row>
    <row r="338" spans="1:13" ht="16" hidden="1" x14ac:dyDescent="0.2">
      <c r="A338" s="54">
        <v>45930</v>
      </c>
      <c r="B338" s="91">
        <v>9569</v>
      </c>
      <c r="C338" s="59" t="s">
        <v>169</v>
      </c>
      <c r="D338" s="59" t="s">
        <v>7</v>
      </c>
      <c r="E338" s="65">
        <v>10</v>
      </c>
      <c r="F338" s="33">
        <v>1</v>
      </c>
      <c r="G338" s="34">
        <v>171.43</v>
      </c>
      <c r="H338" s="69" t="s">
        <v>247</v>
      </c>
      <c r="I338" s="80">
        <v>1714.3</v>
      </c>
      <c r="J338" s="11" t="s">
        <v>210</v>
      </c>
      <c r="K338" s="19">
        <v>154.29</v>
      </c>
      <c r="L338" s="76">
        <v>171.43</v>
      </c>
      <c r="M338" s="13">
        <f t="shared" ref="M338" si="66">I338*30%</f>
        <v>514.29</v>
      </c>
    </row>
    <row r="339" spans="1:13" hidden="1" x14ac:dyDescent="0.2">
      <c r="A339" s="54">
        <v>45927</v>
      </c>
      <c r="B339" s="91">
        <v>353</v>
      </c>
      <c r="C339" s="59" t="s">
        <v>211</v>
      </c>
      <c r="D339" s="59" t="s">
        <v>153</v>
      </c>
      <c r="E339" s="65">
        <v>500</v>
      </c>
      <c r="F339" s="33">
        <v>0</v>
      </c>
      <c r="G339" s="34">
        <v>70</v>
      </c>
      <c r="H339" s="69" t="s">
        <v>60</v>
      </c>
      <c r="I339" s="80">
        <v>35000</v>
      </c>
      <c r="J339" s="11" t="s">
        <v>210</v>
      </c>
      <c r="K339" s="40">
        <v>185.5</v>
      </c>
      <c r="L339" s="86">
        <v>206.25</v>
      </c>
      <c r="M339" s="13">
        <v>0</v>
      </c>
    </row>
    <row r="340" spans="1:13" hidden="1" x14ac:dyDescent="0.2">
      <c r="A340" s="54">
        <v>45920</v>
      </c>
      <c r="B340" s="91">
        <v>337</v>
      </c>
      <c r="C340" s="59" t="s">
        <v>211</v>
      </c>
      <c r="D340" s="59" t="s">
        <v>153</v>
      </c>
      <c r="E340" s="65">
        <v>500</v>
      </c>
      <c r="F340" s="33">
        <v>0</v>
      </c>
      <c r="G340" s="34">
        <v>70</v>
      </c>
      <c r="H340" s="69" t="s">
        <v>60</v>
      </c>
      <c r="I340" s="80">
        <v>35000</v>
      </c>
      <c r="J340" s="11" t="s">
        <v>210</v>
      </c>
      <c r="K340" s="40">
        <v>185.5</v>
      </c>
      <c r="L340" s="86">
        <v>206.25</v>
      </c>
      <c r="M340" s="13">
        <v>0</v>
      </c>
    </row>
    <row r="341" spans="1:13" hidden="1" x14ac:dyDescent="0.2">
      <c r="A341" s="55">
        <v>45918</v>
      </c>
      <c r="B341" s="92">
        <v>331</v>
      </c>
      <c r="C341" s="60" t="s">
        <v>212</v>
      </c>
      <c r="D341" s="60" t="s">
        <v>153</v>
      </c>
      <c r="E341" s="66">
        <v>10</v>
      </c>
      <c r="F341" s="45">
        <v>1</v>
      </c>
      <c r="G341" s="46">
        <v>206.25</v>
      </c>
      <c r="H341" s="74" t="s">
        <v>230</v>
      </c>
      <c r="I341" s="81">
        <v>2062.5</v>
      </c>
      <c r="J341" s="11" t="s">
        <v>210</v>
      </c>
      <c r="K341" s="40">
        <v>185.5</v>
      </c>
      <c r="L341" s="86">
        <v>206.25</v>
      </c>
      <c r="M341" s="13">
        <f t="shared" ref="M341" si="67">I341*30%</f>
        <v>618.75</v>
      </c>
    </row>
    <row r="342" spans="1:13" hidden="1" x14ac:dyDescent="0.2">
      <c r="A342" s="55">
        <v>45918</v>
      </c>
      <c r="B342" s="92">
        <v>331</v>
      </c>
      <c r="C342" s="60" t="s">
        <v>212</v>
      </c>
      <c r="D342" s="60" t="s">
        <v>213</v>
      </c>
      <c r="E342" s="66">
        <v>10</v>
      </c>
      <c r="F342" s="45">
        <v>1</v>
      </c>
      <c r="G342" s="46">
        <v>178.55</v>
      </c>
      <c r="H342" s="74" t="s">
        <v>230</v>
      </c>
      <c r="I342" s="81">
        <v>1785.5</v>
      </c>
      <c r="J342" s="11" t="s">
        <v>210</v>
      </c>
      <c r="M342" s="13">
        <f>I342*30%</f>
        <v>535.65</v>
      </c>
    </row>
    <row r="343" spans="1:13" ht="16" hidden="1" x14ac:dyDescent="0.2">
      <c r="A343" s="55">
        <v>45918</v>
      </c>
      <c r="B343" s="92">
        <v>331</v>
      </c>
      <c r="C343" s="60" t="s">
        <v>212</v>
      </c>
      <c r="D343" s="60" t="s">
        <v>7</v>
      </c>
      <c r="E343" s="66">
        <v>6</v>
      </c>
      <c r="F343" s="45">
        <v>0</v>
      </c>
      <c r="G343" s="46">
        <v>171.43</v>
      </c>
      <c r="H343" s="74" t="s">
        <v>230</v>
      </c>
      <c r="I343" s="81">
        <v>1028.58</v>
      </c>
      <c r="J343" s="11" t="s">
        <v>210</v>
      </c>
      <c r="K343" s="19">
        <v>154.29</v>
      </c>
      <c r="L343" s="76">
        <v>171.43</v>
      </c>
      <c r="M343" s="13">
        <f t="shared" ref="M343" si="68">I343*30%</f>
        <v>308.57399999999996</v>
      </c>
    </row>
    <row r="344" spans="1:13" ht="16" hidden="1" x14ac:dyDescent="0.2">
      <c r="A344" s="55">
        <v>45918</v>
      </c>
      <c r="B344" s="92">
        <v>331</v>
      </c>
      <c r="C344" s="60" t="s">
        <v>212</v>
      </c>
      <c r="D344" s="59" t="s">
        <v>94</v>
      </c>
      <c r="E344" s="66">
        <v>10</v>
      </c>
      <c r="F344" s="45">
        <v>1</v>
      </c>
      <c r="G344" s="46">
        <v>146.31</v>
      </c>
      <c r="H344" s="74" t="s">
        <v>230</v>
      </c>
      <c r="I344" s="81">
        <v>1463.1</v>
      </c>
      <c r="J344" s="11" t="s">
        <v>210</v>
      </c>
      <c r="K344" s="27">
        <v>131.68</v>
      </c>
      <c r="L344" s="84">
        <v>146.31</v>
      </c>
      <c r="M344" s="13">
        <f t="shared" ref="M344" si="69">I344*40%</f>
        <v>585.24</v>
      </c>
    </row>
    <row r="345" spans="1:13" ht="16" hidden="1" x14ac:dyDescent="0.2">
      <c r="A345" s="55">
        <v>45918</v>
      </c>
      <c r="B345" s="92">
        <v>331</v>
      </c>
      <c r="C345" s="60" t="s">
        <v>212</v>
      </c>
      <c r="D345" s="60" t="s">
        <v>88</v>
      </c>
      <c r="E345" s="66">
        <v>10</v>
      </c>
      <c r="F345" s="45">
        <v>1</v>
      </c>
      <c r="G345" s="46">
        <v>64.290000000000006</v>
      </c>
      <c r="H345" s="74" t="s">
        <v>230</v>
      </c>
      <c r="I345" s="82">
        <v>642.9</v>
      </c>
      <c r="J345" s="11" t="s">
        <v>210</v>
      </c>
      <c r="K345" s="28">
        <v>57.86</v>
      </c>
      <c r="L345" s="83">
        <v>64.290000000000006</v>
      </c>
      <c r="M345" s="12">
        <f t="shared" ref="M345" si="70">I345*30%</f>
        <v>192.86999999999998</v>
      </c>
    </row>
    <row r="346" spans="1:13" ht="16" hidden="1" x14ac:dyDescent="0.2">
      <c r="A346" s="55">
        <v>45918</v>
      </c>
      <c r="B346" s="92">
        <v>331</v>
      </c>
      <c r="C346" s="60" t="s">
        <v>212</v>
      </c>
      <c r="D346" s="60" t="s">
        <v>12</v>
      </c>
      <c r="E346" s="66">
        <v>10</v>
      </c>
      <c r="F346" s="45">
        <v>1</v>
      </c>
      <c r="G346" s="46">
        <v>102.14</v>
      </c>
      <c r="H346" s="74" t="s">
        <v>230</v>
      </c>
      <c r="I346" s="81">
        <v>1021.4</v>
      </c>
      <c r="J346" s="11" t="s">
        <v>210</v>
      </c>
      <c r="K346" s="19">
        <v>92.86</v>
      </c>
      <c r="L346" s="76">
        <v>102.14</v>
      </c>
      <c r="M346" s="13">
        <f t="shared" ref="M346" si="71">I346*40%</f>
        <v>408.56</v>
      </c>
    </row>
    <row r="347" spans="1:13" ht="16" hidden="1" x14ac:dyDescent="0.2">
      <c r="A347" s="55">
        <v>45918</v>
      </c>
      <c r="B347" s="92">
        <v>331</v>
      </c>
      <c r="C347" s="60" t="s">
        <v>212</v>
      </c>
      <c r="D347" s="59" t="s">
        <v>115</v>
      </c>
      <c r="E347" s="66">
        <v>4</v>
      </c>
      <c r="F347" s="45">
        <v>0</v>
      </c>
      <c r="G347" s="46">
        <v>157.13999999999999</v>
      </c>
      <c r="H347" s="74" t="s">
        <v>230</v>
      </c>
      <c r="I347" s="82">
        <v>628.55999999999995</v>
      </c>
      <c r="J347" s="11" t="s">
        <v>210</v>
      </c>
      <c r="K347" s="27">
        <v>141.43</v>
      </c>
      <c r="L347" s="84">
        <v>157.13999999999999</v>
      </c>
      <c r="M347" s="13">
        <f t="shared" ref="M347" si="72">I347*30%</f>
        <v>188.56799999999998</v>
      </c>
    </row>
    <row r="348" spans="1:13" hidden="1" x14ac:dyDescent="0.2">
      <c r="A348" s="54">
        <v>45927</v>
      </c>
      <c r="B348" s="91">
        <v>354</v>
      </c>
      <c r="C348" s="59" t="s">
        <v>214</v>
      </c>
      <c r="D348" s="59" t="s">
        <v>2</v>
      </c>
      <c r="E348" s="65">
        <v>200</v>
      </c>
      <c r="F348" s="33">
        <v>0</v>
      </c>
      <c r="G348" s="34">
        <v>9</v>
      </c>
      <c r="H348" s="72" t="s">
        <v>143</v>
      </c>
      <c r="I348" s="80">
        <v>1800</v>
      </c>
      <c r="J348" s="11" t="s">
        <v>210</v>
      </c>
      <c r="K348" s="6">
        <v>12.6</v>
      </c>
      <c r="L348" s="76">
        <v>14</v>
      </c>
      <c r="M348" s="12">
        <v>0</v>
      </c>
    </row>
    <row r="349" spans="1:13" hidden="1" x14ac:dyDescent="0.2">
      <c r="A349" s="55">
        <v>45912</v>
      </c>
      <c r="B349" s="92">
        <v>317</v>
      </c>
      <c r="C349" s="60" t="s">
        <v>149</v>
      </c>
      <c r="D349" s="60" t="s">
        <v>215</v>
      </c>
      <c r="E349" s="66">
        <v>5</v>
      </c>
      <c r="F349" s="45">
        <v>0</v>
      </c>
      <c r="G349" s="46">
        <v>71.430000000000007</v>
      </c>
      <c r="H349" s="69" t="s">
        <v>157</v>
      </c>
      <c r="I349" s="82">
        <v>357.15</v>
      </c>
      <c r="J349" s="11" t="s">
        <v>210</v>
      </c>
      <c r="M349" s="13">
        <f>I349*30%</f>
        <v>107.145</v>
      </c>
    </row>
    <row r="350" spans="1:13" ht="16" hidden="1" x14ac:dyDescent="0.2">
      <c r="A350" s="55">
        <v>45912</v>
      </c>
      <c r="B350" s="92">
        <v>317</v>
      </c>
      <c r="C350" s="60" t="s">
        <v>149</v>
      </c>
      <c r="D350" s="60" t="s">
        <v>7</v>
      </c>
      <c r="E350" s="66">
        <v>5</v>
      </c>
      <c r="F350" s="45">
        <v>0</v>
      </c>
      <c r="G350" s="46">
        <v>171.43</v>
      </c>
      <c r="H350" s="69" t="s">
        <v>157</v>
      </c>
      <c r="I350" s="82">
        <v>857.15</v>
      </c>
      <c r="J350" s="11" t="s">
        <v>210</v>
      </c>
      <c r="K350" s="19">
        <v>154.29</v>
      </c>
      <c r="L350" s="76">
        <v>171.43</v>
      </c>
      <c r="M350" s="13">
        <f t="shared" ref="M350" si="73">I350*30%</f>
        <v>257.14499999999998</v>
      </c>
    </row>
    <row r="351" spans="1:13" hidden="1" x14ac:dyDescent="0.2">
      <c r="A351" s="55">
        <v>45912</v>
      </c>
      <c r="B351" s="92">
        <v>317</v>
      </c>
      <c r="C351" s="60" t="s">
        <v>149</v>
      </c>
      <c r="D351" s="60" t="s">
        <v>192</v>
      </c>
      <c r="E351" s="66">
        <v>5</v>
      </c>
      <c r="F351" s="45">
        <v>0</v>
      </c>
      <c r="G351" s="46">
        <v>151.43</v>
      </c>
      <c r="H351" s="69" t="s">
        <v>157</v>
      </c>
      <c r="I351" s="82">
        <v>757.15</v>
      </c>
      <c r="J351" s="11" t="s">
        <v>210</v>
      </c>
      <c r="M351" s="13">
        <f>I351*30%</f>
        <v>227.14499999999998</v>
      </c>
    </row>
    <row r="352" spans="1:13" hidden="1" x14ac:dyDescent="0.2">
      <c r="A352" s="54">
        <v>45923</v>
      </c>
      <c r="B352" s="91">
        <v>339</v>
      </c>
      <c r="C352" s="59" t="s">
        <v>216</v>
      </c>
      <c r="D352" s="59" t="s">
        <v>153</v>
      </c>
      <c r="E352" s="65">
        <v>290</v>
      </c>
      <c r="F352" s="33">
        <v>0</v>
      </c>
      <c r="G352" s="34">
        <v>75</v>
      </c>
      <c r="H352" s="69" t="s">
        <v>60</v>
      </c>
      <c r="I352" s="80">
        <v>21750</v>
      </c>
      <c r="J352" s="11" t="s">
        <v>210</v>
      </c>
      <c r="K352" s="40">
        <v>185.5</v>
      </c>
      <c r="L352" s="86">
        <v>206.25</v>
      </c>
      <c r="M352" s="13">
        <v>0</v>
      </c>
    </row>
    <row r="353" spans="1:17" hidden="1" x14ac:dyDescent="0.2">
      <c r="A353" s="54">
        <v>45930</v>
      </c>
      <c r="B353" s="91">
        <v>357</v>
      </c>
      <c r="C353" s="59" t="s">
        <v>216</v>
      </c>
      <c r="D353" s="59" t="s">
        <v>153</v>
      </c>
      <c r="E353" s="65">
        <v>500</v>
      </c>
      <c r="F353" s="33">
        <v>0</v>
      </c>
      <c r="G353" s="34">
        <v>75</v>
      </c>
      <c r="H353" s="69" t="s">
        <v>60</v>
      </c>
      <c r="I353" s="80">
        <v>37500</v>
      </c>
      <c r="J353" s="11" t="s">
        <v>210</v>
      </c>
      <c r="K353" s="40">
        <v>185.5</v>
      </c>
      <c r="L353" s="86">
        <v>206.25</v>
      </c>
      <c r="M353" s="13">
        <v>0</v>
      </c>
    </row>
    <row r="354" spans="1:17" hidden="1" x14ac:dyDescent="0.2">
      <c r="A354" s="54">
        <v>45918</v>
      </c>
      <c r="B354" s="91">
        <v>330</v>
      </c>
      <c r="C354" s="59" t="s">
        <v>216</v>
      </c>
      <c r="D354" s="59" t="s">
        <v>153</v>
      </c>
      <c r="E354" s="65">
        <v>140</v>
      </c>
      <c r="F354" s="33">
        <v>14</v>
      </c>
      <c r="G354" s="34">
        <v>75</v>
      </c>
      <c r="H354" s="69" t="s">
        <v>60</v>
      </c>
      <c r="I354" s="80">
        <v>10500</v>
      </c>
      <c r="J354" s="11" t="s">
        <v>210</v>
      </c>
      <c r="K354" s="40">
        <v>185.5</v>
      </c>
      <c r="L354" s="86">
        <v>206.25</v>
      </c>
      <c r="M354" s="13">
        <v>0</v>
      </c>
    </row>
    <row r="355" spans="1:17" hidden="1" x14ac:dyDescent="0.2">
      <c r="A355" s="54">
        <v>45927</v>
      </c>
      <c r="B355" s="91">
        <v>348</v>
      </c>
      <c r="C355" s="59" t="s">
        <v>216</v>
      </c>
      <c r="D355" s="59" t="s">
        <v>153</v>
      </c>
      <c r="E355" s="65">
        <v>280</v>
      </c>
      <c r="F355" s="33">
        <v>0</v>
      </c>
      <c r="G355" s="34">
        <v>75</v>
      </c>
      <c r="H355" s="69" t="s">
        <v>60</v>
      </c>
      <c r="I355" s="80">
        <v>21000</v>
      </c>
      <c r="J355" s="11" t="s">
        <v>210</v>
      </c>
      <c r="K355" s="40">
        <v>185.5</v>
      </c>
      <c r="L355" s="86">
        <v>206.25</v>
      </c>
      <c r="M355" s="13">
        <v>0</v>
      </c>
    </row>
    <row r="356" spans="1:17" hidden="1" x14ac:dyDescent="0.2">
      <c r="A356" s="54">
        <v>45925</v>
      </c>
      <c r="B356" s="91">
        <v>345</v>
      </c>
      <c r="C356" s="59" t="s">
        <v>216</v>
      </c>
      <c r="D356" s="59" t="s">
        <v>153</v>
      </c>
      <c r="E356" s="65">
        <v>500</v>
      </c>
      <c r="F356" s="33">
        <v>0</v>
      </c>
      <c r="G356" s="34">
        <v>75</v>
      </c>
      <c r="H356" s="69" t="s">
        <v>60</v>
      </c>
      <c r="I356" s="80">
        <v>37500</v>
      </c>
      <c r="J356" s="11" t="s">
        <v>210</v>
      </c>
      <c r="K356" s="40">
        <v>185.5</v>
      </c>
      <c r="L356" s="86">
        <v>206.25</v>
      </c>
      <c r="M356" s="13">
        <v>0</v>
      </c>
    </row>
    <row r="357" spans="1:17" hidden="1" x14ac:dyDescent="0.2">
      <c r="A357" s="54">
        <v>45920</v>
      </c>
      <c r="B357" s="91">
        <v>336</v>
      </c>
      <c r="C357" s="59" t="s">
        <v>216</v>
      </c>
      <c r="D357" s="59" t="s">
        <v>153</v>
      </c>
      <c r="E357" s="65">
        <v>190</v>
      </c>
      <c r="F357" s="33">
        <v>0</v>
      </c>
      <c r="G357" s="34">
        <v>75</v>
      </c>
      <c r="H357" s="69" t="s">
        <v>60</v>
      </c>
      <c r="I357" s="80">
        <v>14250</v>
      </c>
      <c r="J357" s="11" t="s">
        <v>210</v>
      </c>
      <c r="K357" s="40">
        <v>185.5</v>
      </c>
      <c r="L357" s="86">
        <v>206.25</v>
      </c>
      <c r="M357" s="13">
        <v>0</v>
      </c>
    </row>
    <row r="358" spans="1:17" hidden="1" x14ac:dyDescent="0.2">
      <c r="A358" s="54">
        <v>45919</v>
      </c>
      <c r="B358" s="91">
        <v>332</v>
      </c>
      <c r="C358" s="59" t="s">
        <v>216</v>
      </c>
      <c r="D358" s="59" t="s">
        <v>153</v>
      </c>
      <c r="E358" s="65">
        <v>250</v>
      </c>
      <c r="F358" s="33">
        <v>0</v>
      </c>
      <c r="G358" s="34">
        <v>75</v>
      </c>
      <c r="H358" s="69" t="s">
        <v>60</v>
      </c>
      <c r="I358" s="80">
        <v>18750</v>
      </c>
      <c r="J358" s="11" t="s">
        <v>210</v>
      </c>
      <c r="K358" s="40">
        <v>185.5</v>
      </c>
      <c r="L358" s="86">
        <v>206.25</v>
      </c>
      <c r="M358" s="13">
        <v>0</v>
      </c>
    </row>
    <row r="359" spans="1:17" ht="16" hidden="1" x14ac:dyDescent="0.2">
      <c r="A359" s="54">
        <v>45906</v>
      </c>
      <c r="B359" s="91">
        <v>304</v>
      </c>
      <c r="C359" s="59" t="s">
        <v>217</v>
      </c>
      <c r="D359" s="59" t="s">
        <v>8</v>
      </c>
      <c r="E359" s="65">
        <v>100</v>
      </c>
      <c r="F359" s="33">
        <v>0</v>
      </c>
      <c r="G359" s="34">
        <v>20</v>
      </c>
      <c r="H359" s="75" t="s">
        <v>229</v>
      </c>
      <c r="I359" s="80">
        <v>2000</v>
      </c>
      <c r="J359" s="11" t="s">
        <v>210</v>
      </c>
      <c r="K359" s="21">
        <v>176.79</v>
      </c>
      <c r="L359" s="76">
        <v>196.43</v>
      </c>
      <c r="M359" s="13">
        <v>0</v>
      </c>
      <c r="Q359" s="22">
        <v>10.8</v>
      </c>
    </row>
    <row r="360" spans="1:17" hidden="1" x14ac:dyDescent="0.2">
      <c r="A360" s="54">
        <v>45906</v>
      </c>
      <c r="B360" s="91">
        <v>304</v>
      </c>
      <c r="C360" s="59" t="s">
        <v>217</v>
      </c>
      <c r="D360" s="59" t="s">
        <v>11</v>
      </c>
      <c r="E360" s="65">
        <v>50</v>
      </c>
      <c r="F360" s="33">
        <v>0</v>
      </c>
      <c r="G360" s="34">
        <v>9</v>
      </c>
      <c r="H360" s="75" t="s">
        <v>229</v>
      </c>
      <c r="I360" s="79">
        <v>450</v>
      </c>
      <c r="J360" s="11" t="s">
        <v>210</v>
      </c>
      <c r="K360" s="6">
        <v>45</v>
      </c>
      <c r="L360" s="76">
        <v>50</v>
      </c>
      <c r="M360" s="13">
        <v>0</v>
      </c>
    </row>
    <row r="361" spans="1:17" ht="16" hidden="1" x14ac:dyDescent="0.2">
      <c r="A361" s="54">
        <v>45906</v>
      </c>
      <c r="B361" s="91">
        <v>304</v>
      </c>
      <c r="C361" s="59" t="s">
        <v>217</v>
      </c>
      <c r="D361" s="59" t="s">
        <v>12</v>
      </c>
      <c r="E361" s="65">
        <v>100</v>
      </c>
      <c r="F361" s="33">
        <v>0</v>
      </c>
      <c r="G361" s="34">
        <v>9.5</v>
      </c>
      <c r="H361" s="75" t="s">
        <v>229</v>
      </c>
      <c r="I361" s="79">
        <v>950</v>
      </c>
      <c r="J361" s="11" t="s">
        <v>210</v>
      </c>
      <c r="K361" s="19">
        <v>92.86</v>
      </c>
      <c r="L361" s="76">
        <v>102.14</v>
      </c>
      <c r="M361" s="13">
        <v>0</v>
      </c>
    </row>
    <row r="362" spans="1:17" ht="16" hidden="1" x14ac:dyDescent="0.2">
      <c r="A362" s="55">
        <v>45901</v>
      </c>
      <c r="B362" s="92">
        <v>296</v>
      </c>
      <c r="C362" s="60" t="s">
        <v>218</v>
      </c>
      <c r="D362" s="60" t="s">
        <v>7</v>
      </c>
      <c r="E362" s="66">
        <v>6</v>
      </c>
      <c r="F362" s="45">
        <v>0</v>
      </c>
      <c r="G362" s="46">
        <v>171.43</v>
      </c>
      <c r="H362" s="74" t="s">
        <v>228</v>
      </c>
      <c r="I362" s="81">
        <v>1028.58</v>
      </c>
      <c r="J362" s="11" t="s">
        <v>210</v>
      </c>
      <c r="K362" s="19">
        <v>154.29</v>
      </c>
      <c r="L362" s="76">
        <v>171.43</v>
      </c>
      <c r="M362" s="13">
        <f t="shared" ref="M362:M363" si="74">I362*30%</f>
        <v>308.57399999999996</v>
      </c>
    </row>
    <row r="363" spans="1:17" ht="16" hidden="1" x14ac:dyDescent="0.2">
      <c r="A363" s="55">
        <v>45910</v>
      </c>
      <c r="B363" s="92">
        <v>313</v>
      </c>
      <c r="C363" s="60" t="s">
        <v>219</v>
      </c>
      <c r="D363" s="60" t="s">
        <v>7</v>
      </c>
      <c r="E363" s="66">
        <v>10</v>
      </c>
      <c r="F363" s="45">
        <v>1</v>
      </c>
      <c r="G363" s="46">
        <v>171.43</v>
      </c>
      <c r="H363" s="74" t="s">
        <v>227</v>
      </c>
      <c r="I363" s="81">
        <v>1714.3</v>
      </c>
      <c r="J363" s="11" t="s">
        <v>210</v>
      </c>
      <c r="K363" s="19">
        <v>154.29</v>
      </c>
      <c r="L363" s="76">
        <v>171.43</v>
      </c>
      <c r="M363" s="13">
        <f t="shared" si="74"/>
        <v>514.29</v>
      </c>
    </row>
    <row r="364" spans="1:17" ht="16" hidden="1" x14ac:dyDescent="0.2">
      <c r="A364" s="54">
        <v>45909</v>
      </c>
      <c r="B364" s="91">
        <v>308</v>
      </c>
      <c r="C364" s="59" t="s">
        <v>156</v>
      </c>
      <c r="D364" s="59" t="s">
        <v>4</v>
      </c>
      <c r="E364" s="65">
        <v>20</v>
      </c>
      <c r="F364" s="33">
        <v>0</v>
      </c>
      <c r="G364" s="34">
        <v>55.79</v>
      </c>
      <c r="H364" s="69" t="s">
        <v>60</v>
      </c>
      <c r="I364" s="80">
        <v>1115.8</v>
      </c>
      <c r="J364" s="11" t="s">
        <v>210</v>
      </c>
      <c r="K364" s="19">
        <v>50.21</v>
      </c>
      <c r="L364" s="76">
        <v>55.79</v>
      </c>
      <c r="M364" s="13">
        <v>0</v>
      </c>
      <c r="Q364" s="6">
        <v>23</v>
      </c>
    </row>
    <row r="365" spans="1:17" ht="16" hidden="1" x14ac:dyDescent="0.2">
      <c r="A365" s="54">
        <v>45909</v>
      </c>
      <c r="B365" s="91">
        <v>308</v>
      </c>
      <c r="C365" s="59" t="s">
        <v>156</v>
      </c>
      <c r="D365" s="59" t="s">
        <v>5</v>
      </c>
      <c r="E365" s="65">
        <v>40</v>
      </c>
      <c r="F365" s="33">
        <v>4</v>
      </c>
      <c r="G365" s="34">
        <v>56.43</v>
      </c>
      <c r="H365" s="69" t="s">
        <v>60</v>
      </c>
      <c r="I365" s="80">
        <v>2257.1999999999998</v>
      </c>
      <c r="J365" s="11" t="s">
        <v>210</v>
      </c>
      <c r="K365" s="19">
        <v>50.79</v>
      </c>
      <c r="L365" s="76">
        <v>56.43</v>
      </c>
      <c r="M365" s="13">
        <v>0</v>
      </c>
      <c r="Q365" s="6">
        <v>23</v>
      </c>
    </row>
    <row r="366" spans="1:17" ht="16" hidden="1" x14ac:dyDescent="0.2">
      <c r="A366" s="54">
        <v>45912</v>
      </c>
      <c r="B366" s="91">
        <v>318</v>
      </c>
      <c r="C366" s="59" t="s">
        <v>156</v>
      </c>
      <c r="D366" s="59" t="s">
        <v>5</v>
      </c>
      <c r="E366" s="65">
        <v>30</v>
      </c>
      <c r="F366" s="33">
        <v>3</v>
      </c>
      <c r="G366" s="34">
        <v>56.43</v>
      </c>
      <c r="H366" s="69" t="s">
        <v>60</v>
      </c>
      <c r="I366" s="80">
        <v>1692.9</v>
      </c>
      <c r="J366" s="11" t="s">
        <v>210</v>
      </c>
      <c r="K366" s="19">
        <v>50.79</v>
      </c>
      <c r="L366" s="76">
        <v>56.43</v>
      </c>
      <c r="M366" s="13">
        <v>0</v>
      </c>
      <c r="Q366" s="6">
        <v>23</v>
      </c>
    </row>
    <row r="367" spans="1:17" hidden="1" x14ac:dyDescent="0.2">
      <c r="A367" s="54">
        <v>45930</v>
      </c>
      <c r="B367" s="91">
        <v>360</v>
      </c>
      <c r="C367" s="59" t="s">
        <v>156</v>
      </c>
      <c r="D367" s="59" t="s">
        <v>153</v>
      </c>
      <c r="E367" s="65">
        <v>10</v>
      </c>
      <c r="F367" s="33">
        <v>1</v>
      </c>
      <c r="G367" s="34">
        <v>206.25</v>
      </c>
      <c r="H367" s="69" t="s">
        <v>60</v>
      </c>
      <c r="I367" s="80">
        <v>2062.5</v>
      </c>
      <c r="J367" s="11" t="s">
        <v>210</v>
      </c>
      <c r="K367" s="40">
        <v>185.5</v>
      </c>
      <c r="L367" s="86">
        <v>206.25</v>
      </c>
      <c r="M367" s="13">
        <v>0</v>
      </c>
    </row>
    <row r="368" spans="1:17" hidden="1" x14ac:dyDescent="0.2">
      <c r="A368" s="54">
        <v>45930</v>
      </c>
      <c r="B368" s="91">
        <v>360</v>
      </c>
      <c r="C368" s="59" t="s">
        <v>156</v>
      </c>
      <c r="D368" s="59" t="s">
        <v>215</v>
      </c>
      <c r="E368" s="65">
        <v>10</v>
      </c>
      <c r="F368" s="33">
        <v>1</v>
      </c>
      <c r="G368" s="34">
        <v>71.430000000000007</v>
      </c>
      <c r="H368" s="69" t="s">
        <v>60</v>
      </c>
      <c r="I368" s="79">
        <v>714.3</v>
      </c>
      <c r="J368" s="11" t="s">
        <v>210</v>
      </c>
      <c r="M368" s="13">
        <v>0</v>
      </c>
    </row>
    <row r="369" spans="1:17" ht="16" hidden="1" x14ac:dyDescent="0.2">
      <c r="A369" s="54">
        <v>45924</v>
      </c>
      <c r="B369" s="91">
        <v>343</v>
      </c>
      <c r="C369" s="59" t="s">
        <v>156</v>
      </c>
      <c r="D369" s="59" t="s">
        <v>7</v>
      </c>
      <c r="E369" s="65">
        <v>50</v>
      </c>
      <c r="F369" s="33">
        <v>5</v>
      </c>
      <c r="G369" s="34">
        <v>171.43</v>
      </c>
      <c r="H369" s="69" t="s">
        <v>60</v>
      </c>
      <c r="I369" s="80">
        <v>8571.5</v>
      </c>
      <c r="J369" s="11" t="s">
        <v>210</v>
      </c>
      <c r="K369" s="19">
        <v>154.29</v>
      </c>
      <c r="L369" s="76">
        <v>171.43</v>
      </c>
      <c r="M369" s="13">
        <v>0</v>
      </c>
    </row>
    <row r="370" spans="1:17" ht="16" hidden="1" x14ac:dyDescent="0.2">
      <c r="A370" s="54">
        <v>45927</v>
      </c>
      <c r="B370" s="91">
        <v>352</v>
      </c>
      <c r="C370" s="59" t="s">
        <v>156</v>
      </c>
      <c r="D370" s="59" t="s">
        <v>7</v>
      </c>
      <c r="E370" s="65">
        <v>100</v>
      </c>
      <c r="F370" s="33">
        <v>10</v>
      </c>
      <c r="G370" s="34">
        <v>171.43</v>
      </c>
      <c r="H370" s="69" t="s">
        <v>60</v>
      </c>
      <c r="I370" s="80">
        <v>17143</v>
      </c>
      <c r="J370" s="11" t="s">
        <v>210</v>
      </c>
      <c r="K370" s="19">
        <v>154.29</v>
      </c>
      <c r="L370" s="76">
        <v>171.43</v>
      </c>
      <c r="M370" s="13">
        <v>0</v>
      </c>
    </row>
    <row r="371" spans="1:17" ht="16" hidden="1" x14ac:dyDescent="0.2">
      <c r="A371" s="54">
        <v>45909</v>
      </c>
      <c r="B371" s="91">
        <v>308</v>
      </c>
      <c r="C371" s="59" t="s">
        <v>156</v>
      </c>
      <c r="D371" s="59" t="s">
        <v>7</v>
      </c>
      <c r="E371" s="65">
        <v>20</v>
      </c>
      <c r="F371" s="33">
        <v>2</v>
      </c>
      <c r="G371" s="34">
        <v>171.43</v>
      </c>
      <c r="H371" s="69" t="s">
        <v>60</v>
      </c>
      <c r="I371" s="80">
        <v>3428.6</v>
      </c>
      <c r="J371" s="11" t="s">
        <v>210</v>
      </c>
      <c r="K371" s="19">
        <v>154.29</v>
      </c>
      <c r="L371" s="76">
        <v>171.43</v>
      </c>
      <c r="M371" s="13">
        <v>0</v>
      </c>
    </row>
    <row r="372" spans="1:17" ht="16" hidden="1" x14ac:dyDescent="0.2">
      <c r="A372" s="54">
        <v>45924</v>
      </c>
      <c r="B372" s="91">
        <v>343</v>
      </c>
      <c r="C372" s="59" t="s">
        <v>156</v>
      </c>
      <c r="D372" s="59" t="s">
        <v>94</v>
      </c>
      <c r="E372" s="65">
        <v>50</v>
      </c>
      <c r="F372" s="33">
        <v>5</v>
      </c>
      <c r="G372" s="34">
        <v>146.31</v>
      </c>
      <c r="H372" s="69" t="s">
        <v>60</v>
      </c>
      <c r="I372" s="80">
        <v>7315.5</v>
      </c>
      <c r="J372" s="11" t="s">
        <v>210</v>
      </c>
      <c r="K372" s="27">
        <v>131.68</v>
      </c>
      <c r="L372" s="84">
        <v>146.31</v>
      </c>
      <c r="M372" s="13">
        <v>0</v>
      </c>
    </row>
    <row r="373" spans="1:17" ht="16" hidden="1" x14ac:dyDescent="0.2">
      <c r="A373" s="54">
        <v>45927</v>
      </c>
      <c r="B373" s="91">
        <v>352</v>
      </c>
      <c r="C373" s="59" t="s">
        <v>156</v>
      </c>
      <c r="D373" s="59" t="s">
        <v>94</v>
      </c>
      <c r="E373" s="65">
        <v>100</v>
      </c>
      <c r="F373" s="33">
        <v>10</v>
      </c>
      <c r="G373" s="34">
        <v>146.31</v>
      </c>
      <c r="H373" s="69" t="s">
        <v>60</v>
      </c>
      <c r="I373" s="80">
        <v>14631</v>
      </c>
      <c r="J373" s="11" t="s">
        <v>210</v>
      </c>
      <c r="K373" s="27">
        <v>131.68</v>
      </c>
      <c r="L373" s="84">
        <v>146.31</v>
      </c>
      <c r="M373" s="13">
        <v>0</v>
      </c>
    </row>
    <row r="374" spans="1:17" hidden="1" x14ac:dyDescent="0.2">
      <c r="A374" s="54">
        <v>45930</v>
      </c>
      <c r="B374" s="91">
        <v>360</v>
      </c>
      <c r="C374" s="59" t="s">
        <v>156</v>
      </c>
      <c r="D374" s="59" t="s">
        <v>192</v>
      </c>
      <c r="E374" s="65">
        <v>20</v>
      </c>
      <c r="F374" s="33">
        <v>2</v>
      </c>
      <c r="G374" s="34">
        <v>151.43</v>
      </c>
      <c r="H374" s="69" t="s">
        <v>60</v>
      </c>
      <c r="I374" s="80">
        <v>3028.6</v>
      </c>
      <c r="J374" s="11" t="s">
        <v>210</v>
      </c>
      <c r="M374" s="13">
        <v>0</v>
      </c>
    </row>
    <row r="375" spans="1:17" ht="16" hidden="1" x14ac:dyDescent="0.2">
      <c r="A375" s="54">
        <v>45901</v>
      </c>
      <c r="B375" s="91">
        <v>297</v>
      </c>
      <c r="C375" s="59" t="s">
        <v>156</v>
      </c>
      <c r="D375" s="59" t="s">
        <v>8</v>
      </c>
      <c r="E375" s="65">
        <v>33</v>
      </c>
      <c r="F375" s="33">
        <v>0</v>
      </c>
      <c r="G375" s="34">
        <v>196.43</v>
      </c>
      <c r="H375" s="69" t="s">
        <v>60</v>
      </c>
      <c r="I375" s="80">
        <v>6482.19</v>
      </c>
      <c r="J375" s="11" t="s">
        <v>210</v>
      </c>
      <c r="K375" s="21">
        <v>176.79</v>
      </c>
      <c r="L375" s="76">
        <v>196.43</v>
      </c>
      <c r="M375" s="13">
        <v>0</v>
      </c>
      <c r="Q375" s="22">
        <v>10.8</v>
      </c>
    </row>
    <row r="376" spans="1:17" ht="16" hidden="1" x14ac:dyDescent="0.2">
      <c r="A376" s="54">
        <v>45927</v>
      </c>
      <c r="B376" s="91">
        <v>352</v>
      </c>
      <c r="C376" s="59" t="s">
        <v>156</v>
      </c>
      <c r="D376" s="59" t="s">
        <v>8</v>
      </c>
      <c r="E376" s="65">
        <v>20</v>
      </c>
      <c r="F376" s="33">
        <v>2</v>
      </c>
      <c r="G376" s="34">
        <v>196.43</v>
      </c>
      <c r="H376" s="69" t="s">
        <v>60</v>
      </c>
      <c r="I376" s="80">
        <v>3928.6</v>
      </c>
      <c r="J376" s="11" t="s">
        <v>210</v>
      </c>
      <c r="K376" s="21">
        <v>176.79</v>
      </c>
      <c r="L376" s="76">
        <v>196.43</v>
      </c>
      <c r="M376" s="13">
        <v>0</v>
      </c>
      <c r="Q376" s="22">
        <v>10.8</v>
      </c>
    </row>
    <row r="377" spans="1:17" ht="16" hidden="1" x14ac:dyDescent="0.2">
      <c r="A377" s="54">
        <v>45912</v>
      </c>
      <c r="B377" s="91">
        <v>318</v>
      </c>
      <c r="C377" s="59" t="s">
        <v>156</v>
      </c>
      <c r="D377" s="59" t="s">
        <v>88</v>
      </c>
      <c r="E377" s="65">
        <v>10</v>
      </c>
      <c r="F377" s="33">
        <v>0</v>
      </c>
      <c r="G377" s="34">
        <v>64.290000000000006</v>
      </c>
      <c r="H377" s="69" t="s">
        <v>60</v>
      </c>
      <c r="I377" s="79">
        <v>642.9</v>
      </c>
      <c r="J377" s="11" t="s">
        <v>210</v>
      </c>
      <c r="K377" s="28">
        <v>57.86</v>
      </c>
      <c r="L377" s="83">
        <v>64.290000000000006</v>
      </c>
      <c r="M377" s="13">
        <v>0</v>
      </c>
    </row>
    <row r="378" spans="1:17" hidden="1" x14ac:dyDescent="0.2">
      <c r="A378" s="54">
        <v>45901</v>
      </c>
      <c r="B378" s="91">
        <v>297</v>
      </c>
      <c r="C378" s="59" t="s">
        <v>156</v>
      </c>
      <c r="D378" s="59" t="s">
        <v>2</v>
      </c>
      <c r="E378" s="65">
        <v>90</v>
      </c>
      <c r="F378" s="33">
        <v>0</v>
      </c>
      <c r="G378" s="34">
        <v>12</v>
      </c>
      <c r="H378" s="69" t="s">
        <v>60</v>
      </c>
      <c r="I378" s="80">
        <v>1080</v>
      </c>
      <c r="J378" s="11" t="s">
        <v>210</v>
      </c>
      <c r="K378" s="6">
        <v>12.6</v>
      </c>
      <c r="L378" s="76">
        <v>14</v>
      </c>
      <c r="M378" s="13">
        <v>0</v>
      </c>
    </row>
    <row r="379" spans="1:17" hidden="1" x14ac:dyDescent="0.2">
      <c r="A379" s="54">
        <v>45912</v>
      </c>
      <c r="B379" s="91">
        <v>318</v>
      </c>
      <c r="C379" s="59" t="s">
        <v>156</v>
      </c>
      <c r="D379" s="59" t="s">
        <v>2</v>
      </c>
      <c r="E379" s="65">
        <v>60</v>
      </c>
      <c r="F379" s="33">
        <v>0</v>
      </c>
      <c r="G379" s="34">
        <v>12</v>
      </c>
      <c r="H379" s="69" t="s">
        <v>60</v>
      </c>
      <c r="I379" s="79">
        <v>720</v>
      </c>
      <c r="J379" s="11" t="s">
        <v>210</v>
      </c>
      <c r="K379" s="6">
        <v>12.6</v>
      </c>
      <c r="L379" s="76">
        <v>14</v>
      </c>
      <c r="M379" s="13">
        <v>0</v>
      </c>
    </row>
    <row r="380" spans="1:17" hidden="1" x14ac:dyDescent="0.2">
      <c r="A380" s="54">
        <v>45924</v>
      </c>
      <c r="B380" s="91">
        <v>343</v>
      </c>
      <c r="C380" s="59" t="s">
        <v>156</v>
      </c>
      <c r="D380" s="59" t="s">
        <v>197</v>
      </c>
      <c r="E380" s="65">
        <v>50</v>
      </c>
      <c r="F380" s="33">
        <v>5</v>
      </c>
      <c r="G380" s="34">
        <v>125</v>
      </c>
      <c r="H380" s="69" t="s">
        <v>60</v>
      </c>
      <c r="I380" s="80">
        <v>6250</v>
      </c>
      <c r="J380" s="11" t="s">
        <v>210</v>
      </c>
      <c r="M380" s="13">
        <v>0</v>
      </c>
    </row>
    <row r="381" spans="1:17" hidden="1" x14ac:dyDescent="0.2">
      <c r="A381" s="54">
        <v>45927</v>
      </c>
      <c r="B381" s="91">
        <v>352</v>
      </c>
      <c r="C381" s="59" t="s">
        <v>156</v>
      </c>
      <c r="D381" s="59" t="s">
        <v>197</v>
      </c>
      <c r="E381" s="65">
        <v>50</v>
      </c>
      <c r="F381" s="33">
        <v>5</v>
      </c>
      <c r="G381" s="34">
        <v>125</v>
      </c>
      <c r="H381" s="69" t="s">
        <v>60</v>
      </c>
      <c r="I381" s="80">
        <v>6250</v>
      </c>
      <c r="J381" s="11" t="s">
        <v>210</v>
      </c>
      <c r="M381" s="13">
        <v>0</v>
      </c>
    </row>
    <row r="382" spans="1:17" ht="16" hidden="1" x14ac:dyDescent="0.2">
      <c r="A382" s="54">
        <v>45924</v>
      </c>
      <c r="B382" s="91">
        <v>343</v>
      </c>
      <c r="C382" s="59" t="s">
        <v>156</v>
      </c>
      <c r="D382" s="59" t="s">
        <v>10</v>
      </c>
      <c r="E382" s="65">
        <v>100</v>
      </c>
      <c r="F382" s="33">
        <v>10</v>
      </c>
      <c r="G382" s="34">
        <v>77.86</v>
      </c>
      <c r="H382" s="69" t="s">
        <v>60</v>
      </c>
      <c r="I382" s="80">
        <v>7786</v>
      </c>
      <c r="J382" s="11" t="s">
        <v>210</v>
      </c>
      <c r="K382" s="21">
        <v>69.290000000000006</v>
      </c>
      <c r="L382" s="76">
        <v>77.86</v>
      </c>
      <c r="M382" s="13">
        <v>0</v>
      </c>
    </row>
    <row r="383" spans="1:17" ht="16" hidden="1" x14ac:dyDescent="0.2">
      <c r="A383" s="54">
        <v>45927</v>
      </c>
      <c r="B383" s="91">
        <v>352</v>
      </c>
      <c r="C383" s="59" t="s">
        <v>156</v>
      </c>
      <c r="D383" s="59" t="s">
        <v>10</v>
      </c>
      <c r="E383" s="65">
        <v>30</v>
      </c>
      <c r="F383" s="33">
        <v>3</v>
      </c>
      <c r="G383" s="34">
        <v>69.290000000000006</v>
      </c>
      <c r="H383" s="69" t="s">
        <v>60</v>
      </c>
      <c r="I383" s="80">
        <v>2078.6999999999998</v>
      </c>
      <c r="J383" s="11" t="s">
        <v>210</v>
      </c>
      <c r="K383" s="21">
        <v>69.290000000000006</v>
      </c>
      <c r="L383" s="76">
        <v>77.86</v>
      </c>
      <c r="M383" s="13">
        <v>0</v>
      </c>
    </row>
    <row r="384" spans="1:17" ht="16" hidden="1" x14ac:dyDescent="0.2">
      <c r="A384" s="54">
        <v>45926</v>
      </c>
      <c r="B384" s="91">
        <v>346</v>
      </c>
      <c r="C384" s="59" t="s">
        <v>156</v>
      </c>
      <c r="D384" s="59" t="s">
        <v>154</v>
      </c>
      <c r="E384" s="65">
        <v>33</v>
      </c>
      <c r="F384" s="33">
        <v>0</v>
      </c>
      <c r="G384" s="34">
        <v>361.43</v>
      </c>
      <c r="H384" s="69" t="s">
        <v>60</v>
      </c>
      <c r="I384" s="80">
        <v>11927.19</v>
      </c>
      <c r="J384" s="11" t="s">
        <v>210</v>
      </c>
      <c r="K384" s="21">
        <v>325.28571428571399</v>
      </c>
      <c r="L384" s="76">
        <v>361.43</v>
      </c>
      <c r="M384" s="13">
        <v>0</v>
      </c>
    </row>
    <row r="385" spans="1:17" ht="16" hidden="1" x14ac:dyDescent="0.2">
      <c r="A385" s="54">
        <v>45901</v>
      </c>
      <c r="B385" s="91">
        <v>297</v>
      </c>
      <c r="C385" s="59" t="s">
        <v>156</v>
      </c>
      <c r="D385" s="59" t="s">
        <v>154</v>
      </c>
      <c r="E385" s="65">
        <v>12</v>
      </c>
      <c r="F385" s="33">
        <v>0</v>
      </c>
      <c r="G385" s="34">
        <v>361.43</v>
      </c>
      <c r="H385" s="69" t="s">
        <v>60</v>
      </c>
      <c r="I385" s="80">
        <v>4337.16</v>
      </c>
      <c r="J385" s="11" t="s">
        <v>210</v>
      </c>
      <c r="K385" s="21">
        <v>325.28571428571399</v>
      </c>
      <c r="L385" s="76">
        <v>361.43</v>
      </c>
      <c r="M385" s="13">
        <v>0</v>
      </c>
    </row>
    <row r="386" spans="1:17" hidden="1" x14ac:dyDescent="0.2">
      <c r="A386" s="54">
        <v>45901</v>
      </c>
      <c r="B386" s="91">
        <v>297</v>
      </c>
      <c r="C386" s="59" t="s">
        <v>156</v>
      </c>
      <c r="D386" s="59" t="s">
        <v>11</v>
      </c>
      <c r="E386" s="65">
        <v>22</v>
      </c>
      <c r="F386" s="33">
        <v>0</v>
      </c>
      <c r="G386" s="34">
        <v>50</v>
      </c>
      <c r="H386" s="69" t="s">
        <v>60</v>
      </c>
      <c r="I386" s="80">
        <v>1100</v>
      </c>
      <c r="J386" s="11" t="s">
        <v>210</v>
      </c>
      <c r="K386" s="6">
        <v>45</v>
      </c>
      <c r="L386" s="76">
        <v>50</v>
      </c>
      <c r="M386" s="13">
        <v>0</v>
      </c>
    </row>
    <row r="387" spans="1:17" hidden="1" x14ac:dyDescent="0.2">
      <c r="A387" s="54">
        <v>45909</v>
      </c>
      <c r="B387" s="91">
        <v>308</v>
      </c>
      <c r="C387" s="59" t="s">
        <v>156</v>
      </c>
      <c r="D387" s="59" t="s">
        <v>11</v>
      </c>
      <c r="E387" s="65">
        <v>9</v>
      </c>
      <c r="F387" s="33">
        <v>0</v>
      </c>
      <c r="G387" s="34">
        <v>50</v>
      </c>
      <c r="H387" s="69" t="s">
        <v>60</v>
      </c>
      <c r="I387" s="79">
        <v>450</v>
      </c>
      <c r="J387" s="11" t="s">
        <v>210</v>
      </c>
      <c r="K387" s="6">
        <v>45</v>
      </c>
      <c r="L387" s="76">
        <v>50</v>
      </c>
      <c r="M387" s="13">
        <v>0</v>
      </c>
    </row>
    <row r="388" spans="1:17" ht="16" hidden="1" x14ac:dyDescent="0.2">
      <c r="A388" s="54">
        <v>45901</v>
      </c>
      <c r="B388" s="91">
        <v>297</v>
      </c>
      <c r="C388" s="59" t="s">
        <v>156</v>
      </c>
      <c r="D388" s="59" t="s">
        <v>12</v>
      </c>
      <c r="E388" s="65">
        <v>50</v>
      </c>
      <c r="F388" s="33">
        <v>5</v>
      </c>
      <c r="G388" s="34">
        <v>102.14</v>
      </c>
      <c r="H388" s="69" t="s">
        <v>60</v>
      </c>
      <c r="I388" s="80">
        <v>5107</v>
      </c>
      <c r="J388" s="11" t="s">
        <v>210</v>
      </c>
      <c r="K388" s="19">
        <v>92.86</v>
      </c>
      <c r="L388" s="76">
        <v>102.14</v>
      </c>
      <c r="M388" s="13">
        <v>0</v>
      </c>
    </row>
    <row r="389" spans="1:17" ht="16" hidden="1" x14ac:dyDescent="0.2">
      <c r="A389" s="54">
        <v>45909</v>
      </c>
      <c r="B389" s="91">
        <v>308</v>
      </c>
      <c r="C389" s="59" t="s">
        <v>156</v>
      </c>
      <c r="D389" s="59" t="s">
        <v>12</v>
      </c>
      <c r="E389" s="65">
        <v>50</v>
      </c>
      <c r="F389" s="33">
        <v>5</v>
      </c>
      <c r="G389" s="34">
        <v>102.14</v>
      </c>
      <c r="H389" s="69" t="s">
        <v>60</v>
      </c>
      <c r="I389" s="80">
        <v>5107</v>
      </c>
      <c r="J389" s="11" t="s">
        <v>210</v>
      </c>
      <c r="K389" s="19">
        <v>92.86</v>
      </c>
      <c r="L389" s="76">
        <v>102.14</v>
      </c>
      <c r="M389" s="13">
        <v>0</v>
      </c>
    </row>
    <row r="390" spans="1:17" ht="16" hidden="1" x14ac:dyDescent="0.2">
      <c r="A390" s="54">
        <v>45912</v>
      </c>
      <c r="B390" s="91">
        <v>318</v>
      </c>
      <c r="C390" s="59" t="s">
        <v>156</v>
      </c>
      <c r="D390" s="59" t="s">
        <v>12</v>
      </c>
      <c r="E390" s="65">
        <v>50</v>
      </c>
      <c r="F390" s="33">
        <v>5</v>
      </c>
      <c r="G390" s="34">
        <v>102.14</v>
      </c>
      <c r="H390" s="69" t="s">
        <v>60</v>
      </c>
      <c r="I390" s="80">
        <v>5107</v>
      </c>
      <c r="J390" s="11" t="s">
        <v>210</v>
      </c>
      <c r="K390" s="19">
        <v>92.86</v>
      </c>
      <c r="L390" s="76">
        <v>102.14</v>
      </c>
      <c r="M390" s="13">
        <v>0</v>
      </c>
    </row>
    <row r="391" spans="1:17" ht="16" hidden="1" x14ac:dyDescent="0.2">
      <c r="A391" s="54">
        <v>45927</v>
      </c>
      <c r="B391" s="91">
        <v>352</v>
      </c>
      <c r="C391" s="59" t="s">
        <v>156</v>
      </c>
      <c r="D391" s="59" t="s">
        <v>115</v>
      </c>
      <c r="E391" s="65">
        <v>20</v>
      </c>
      <c r="F391" s="33">
        <v>2</v>
      </c>
      <c r="G391" s="34">
        <v>157.13999999999999</v>
      </c>
      <c r="H391" s="69" t="s">
        <v>60</v>
      </c>
      <c r="I391" s="80">
        <v>3142.8</v>
      </c>
      <c r="J391" s="11" t="s">
        <v>210</v>
      </c>
      <c r="K391" s="27">
        <v>141.43</v>
      </c>
      <c r="L391" s="84">
        <v>157.13999999999999</v>
      </c>
      <c r="M391" s="13">
        <v>0</v>
      </c>
    </row>
    <row r="392" spans="1:17" hidden="1" x14ac:dyDescent="0.2">
      <c r="A392" s="54">
        <v>45912</v>
      </c>
      <c r="B392" s="91">
        <v>318</v>
      </c>
      <c r="C392" s="59" t="s">
        <v>156</v>
      </c>
      <c r="D392" s="59" t="s">
        <v>209</v>
      </c>
      <c r="E392" s="65">
        <v>10</v>
      </c>
      <c r="F392" s="33">
        <v>0</v>
      </c>
      <c r="G392" s="34">
        <v>297</v>
      </c>
      <c r="H392" s="69" t="s">
        <v>60</v>
      </c>
      <c r="I392" s="80">
        <v>2970</v>
      </c>
      <c r="J392" s="11" t="s">
        <v>210</v>
      </c>
      <c r="M392" s="13">
        <v>0</v>
      </c>
    </row>
    <row r="393" spans="1:17" hidden="1" x14ac:dyDescent="0.2">
      <c r="A393" s="54">
        <v>45927</v>
      </c>
      <c r="B393" s="91">
        <v>352</v>
      </c>
      <c r="C393" s="59" t="s">
        <v>156</v>
      </c>
      <c r="D393" s="59" t="s">
        <v>151</v>
      </c>
      <c r="E393" s="65">
        <v>10</v>
      </c>
      <c r="F393" s="33">
        <v>1</v>
      </c>
      <c r="G393" s="34">
        <v>372.88</v>
      </c>
      <c r="H393" s="69" t="s">
        <v>60</v>
      </c>
      <c r="I393" s="80">
        <v>3728.8</v>
      </c>
      <c r="J393" s="11" t="s">
        <v>210</v>
      </c>
      <c r="M393" s="13">
        <v>0</v>
      </c>
    </row>
    <row r="394" spans="1:17" hidden="1" x14ac:dyDescent="0.2">
      <c r="A394" s="54">
        <v>45912</v>
      </c>
      <c r="B394" s="91">
        <v>318</v>
      </c>
      <c r="C394" s="59" t="s">
        <v>156</v>
      </c>
      <c r="D394" s="59" t="s">
        <v>151</v>
      </c>
      <c r="E394" s="65">
        <v>10</v>
      </c>
      <c r="F394" s="33">
        <v>0</v>
      </c>
      <c r="G394" s="34">
        <v>396</v>
      </c>
      <c r="H394" s="69" t="s">
        <v>60</v>
      </c>
      <c r="I394" s="80">
        <v>3960</v>
      </c>
      <c r="J394" s="11" t="s">
        <v>210</v>
      </c>
      <c r="M394" s="13">
        <v>0</v>
      </c>
    </row>
    <row r="395" spans="1:17" hidden="1" x14ac:dyDescent="0.2">
      <c r="A395" s="54">
        <v>45927</v>
      </c>
      <c r="B395" s="91">
        <v>352</v>
      </c>
      <c r="C395" s="59" t="s">
        <v>156</v>
      </c>
      <c r="D395" s="59" t="s">
        <v>189</v>
      </c>
      <c r="E395" s="65">
        <v>20</v>
      </c>
      <c r="F395" s="33">
        <v>2</v>
      </c>
      <c r="G395" s="34">
        <v>64.290000000000006</v>
      </c>
      <c r="H395" s="69" t="s">
        <v>60</v>
      </c>
      <c r="I395" s="80">
        <v>1285.8</v>
      </c>
      <c r="J395" s="11" t="s">
        <v>210</v>
      </c>
      <c r="M395" s="13">
        <v>0</v>
      </c>
    </row>
    <row r="396" spans="1:17" hidden="1" x14ac:dyDescent="0.2">
      <c r="A396" s="54">
        <v>45912</v>
      </c>
      <c r="B396" s="91">
        <v>318</v>
      </c>
      <c r="C396" s="59" t="s">
        <v>156</v>
      </c>
      <c r="D396" s="59" t="s">
        <v>189</v>
      </c>
      <c r="E396" s="65">
        <v>20</v>
      </c>
      <c r="F396" s="33">
        <v>2</v>
      </c>
      <c r="G396" s="34">
        <v>64.290000000000006</v>
      </c>
      <c r="H396" s="69" t="s">
        <v>60</v>
      </c>
      <c r="I396" s="80">
        <v>1285.8</v>
      </c>
      <c r="J396" s="11" t="s">
        <v>210</v>
      </c>
      <c r="M396" s="13">
        <v>0</v>
      </c>
    </row>
    <row r="397" spans="1:17" ht="16" hidden="1" x14ac:dyDescent="0.2">
      <c r="A397" s="55">
        <v>45916</v>
      </c>
      <c r="B397" s="92">
        <v>325</v>
      </c>
      <c r="C397" s="60" t="s">
        <v>220</v>
      </c>
      <c r="D397" s="60" t="s">
        <v>7</v>
      </c>
      <c r="E397" s="66">
        <v>10</v>
      </c>
      <c r="F397" s="45">
        <v>1</v>
      </c>
      <c r="G397" s="46">
        <v>171.43</v>
      </c>
      <c r="H397" s="74" t="s">
        <v>226</v>
      </c>
      <c r="I397" s="81">
        <v>1714.3</v>
      </c>
      <c r="J397" s="11" t="s">
        <v>210</v>
      </c>
      <c r="K397" s="19">
        <v>154.29</v>
      </c>
      <c r="L397" s="76">
        <v>171.43</v>
      </c>
      <c r="M397" s="13">
        <f t="shared" ref="M397" si="75">I397*30%</f>
        <v>514.29</v>
      </c>
    </row>
    <row r="398" spans="1:17" hidden="1" x14ac:dyDescent="0.2">
      <c r="A398" s="54">
        <v>45917</v>
      </c>
      <c r="B398" s="91">
        <v>328</v>
      </c>
      <c r="C398" s="59" t="s">
        <v>221</v>
      </c>
      <c r="D398" s="59" t="s">
        <v>151</v>
      </c>
      <c r="E398" s="65">
        <v>50</v>
      </c>
      <c r="F398" s="33">
        <v>0</v>
      </c>
      <c r="G398" s="34">
        <v>396</v>
      </c>
      <c r="H398" s="75" t="s">
        <v>225</v>
      </c>
      <c r="I398" s="80">
        <v>19800</v>
      </c>
      <c r="J398" s="11" t="s">
        <v>210</v>
      </c>
      <c r="M398" s="13">
        <f>I398*30%</f>
        <v>5940</v>
      </c>
    </row>
    <row r="399" spans="1:17" ht="16" hidden="1" x14ac:dyDescent="0.2">
      <c r="A399" s="55">
        <v>45916</v>
      </c>
      <c r="B399" s="92">
        <v>326</v>
      </c>
      <c r="C399" s="60" t="s">
        <v>222</v>
      </c>
      <c r="D399" s="59" t="s">
        <v>94</v>
      </c>
      <c r="E399" s="66">
        <v>5</v>
      </c>
      <c r="F399" s="45">
        <v>0</v>
      </c>
      <c r="G399" s="46">
        <v>146.31</v>
      </c>
      <c r="H399" s="74" t="s">
        <v>224</v>
      </c>
      <c r="I399" s="82">
        <v>731.55</v>
      </c>
      <c r="J399" s="11" t="s">
        <v>210</v>
      </c>
      <c r="K399" s="27">
        <v>131.68</v>
      </c>
      <c r="L399" s="84">
        <v>146.31</v>
      </c>
      <c r="M399" s="13">
        <f t="shared" ref="M399" si="76">I399*40%</f>
        <v>292.62</v>
      </c>
    </row>
    <row r="400" spans="1:17" ht="16" hidden="1" x14ac:dyDescent="0.2">
      <c r="A400" s="55">
        <v>45916</v>
      </c>
      <c r="B400" s="92">
        <v>326</v>
      </c>
      <c r="C400" s="60" t="s">
        <v>222</v>
      </c>
      <c r="D400" s="60" t="s">
        <v>8</v>
      </c>
      <c r="E400" s="66">
        <v>5</v>
      </c>
      <c r="F400" s="45">
        <v>0</v>
      </c>
      <c r="G400" s="46">
        <v>196.43</v>
      </c>
      <c r="H400" s="74" t="s">
        <v>224</v>
      </c>
      <c r="I400" s="82">
        <v>982.15</v>
      </c>
      <c r="J400" s="11" t="s">
        <v>210</v>
      </c>
      <c r="K400" s="21">
        <v>176.79</v>
      </c>
      <c r="L400" s="76">
        <v>196.43</v>
      </c>
      <c r="M400" s="13">
        <f t="shared" ref="M400:M402" si="77">I400*30%</f>
        <v>294.64499999999998</v>
      </c>
      <c r="Q400" s="22">
        <v>10.8</v>
      </c>
    </row>
    <row r="401" spans="1:13" hidden="1" x14ac:dyDescent="0.2">
      <c r="A401" s="55">
        <v>45916</v>
      </c>
      <c r="B401" s="92">
        <v>326</v>
      </c>
      <c r="C401" s="60" t="s">
        <v>222</v>
      </c>
      <c r="D401" s="60" t="s">
        <v>11</v>
      </c>
      <c r="E401" s="66">
        <v>5</v>
      </c>
      <c r="F401" s="45">
        <v>0</v>
      </c>
      <c r="G401" s="46">
        <v>50</v>
      </c>
      <c r="H401" s="74" t="s">
        <v>224</v>
      </c>
      <c r="I401" s="82">
        <v>250</v>
      </c>
      <c r="J401" s="11" t="s">
        <v>210</v>
      </c>
      <c r="K401" s="6">
        <v>45</v>
      </c>
      <c r="L401" s="76">
        <v>50</v>
      </c>
      <c r="M401" s="13">
        <f t="shared" si="77"/>
        <v>75</v>
      </c>
    </row>
    <row r="402" spans="1:13" ht="16" hidden="1" x14ac:dyDescent="0.2">
      <c r="A402" s="55">
        <v>45916</v>
      </c>
      <c r="B402" s="92">
        <v>326</v>
      </c>
      <c r="C402" s="60" t="s">
        <v>222</v>
      </c>
      <c r="D402" s="60" t="s">
        <v>13</v>
      </c>
      <c r="E402" s="66">
        <v>5</v>
      </c>
      <c r="F402" s="45">
        <v>0</v>
      </c>
      <c r="G402" s="46">
        <v>109.29</v>
      </c>
      <c r="H402" s="74" t="s">
        <v>224</v>
      </c>
      <c r="I402" s="82">
        <v>546.45000000000005</v>
      </c>
      <c r="J402" s="11" t="s">
        <v>210</v>
      </c>
      <c r="K402" s="19">
        <v>98.36</v>
      </c>
      <c r="L402" s="76">
        <v>109.29</v>
      </c>
      <c r="M402" s="12">
        <f t="shared" si="77"/>
        <v>163.935</v>
      </c>
    </row>
    <row r="403" spans="1:13" hidden="1" x14ac:dyDescent="0.2">
      <c r="A403" s="54">
        <v>45911</v>
      </c>
      <c r="B403" s="91">
        <v>316</v>
      </c>
      <c r="C403" s="59" t="s">
        <v>223</v>
      </c>
      <c r="D403" s="59" t="s">
        <v>2</v>
      </c>
      <c r="E403" s="65">
        <v>30</v>
      </c>
      <c r="F403" s="33">
        <v>0</v>
      </c>
      <c r="G403" s="34">
        <v>14</v>
      </c>
      <c r="H403" s="68" t="s">
        <v>59</v>
      </c>
      <c r="I403" s="79">
        <v>420</v>
      </c>
      <c r="J403" s="11" t="s">
        <v>210</v>
      </c>
      <c r="K403" s="6">
        <v>12.6</v>
      </c>
      <c r="L403" s="76">
        <v>14</v>
      </c>
      <c r="M403" s="12">
        <v>0</v>
      </c>
    </row>
    <row r="404" spans="1:13" hidden="1" x14ac:dyDescent="0.2">
      <c r="A404" s="54">
        <v>45909</v>
      </c>
      <c r="B404" s="91">
        <v>309</v>
      </c>
      <c r="C404" s="59" t="s">
        <v>223</v>
      </c>
      <c r="D404" s="59" t="s">
        <v>2</v>
      </c>
      <c r="E404" s="65">
        <v>30</v>
      </c>
      <c r="F404" s="33">
        <v>0</v>
      </c>
      <c r="G404" s="34">
        <v>14</v>
      </c>
      <c r="H404" s="68" t="s">
        <v>59</v>
      </c>
      <c r="I404" s="79">
        <v>420</v>
      </c>
      <c r="J404" s="11" t="s">
        <v>210</v>
      </c>
      <c r="K404" s="6">
        <v>12.6</v>
      </c>
      <c r="L404" s="76">
        <v>14</v>
      </c>
      <c r="M404" s="12">
        <v>0</v>
      </c>
    </row>
    <row r="405" spans="1:13" hidden="1" x14ac:dyDescent="0.2">
      <c r="A405" s="54">
        <v>45910</v>
      </c>
      <c r="B405" s="91">
        <v>312</v>
      </c>
      <c r="C405" s="59" t="s">
        <v>223</v>
      </c>
      <c r="D405" s="59" t="s">
        <v>2</v>
      </c>
      <c r="E405" s="65">
        <v>30</v>
      </c>
      <c r="F405" s="33">
        <v>0</v>
      </c>
      <c r="G405" s="34">
        <v>14</v>
      </c>
      <c r="H405" s="68" t="s">
        <v>59</v>
      </c>
      <c r="I405" s="79">
        <v>420</v>
      </c>
      <c r="J405" s="11" t="s">
        <v>210</v>
      </c>
      <c r="K405" s="6">
        <v>12.6</v>
      </c>
      <c r="L405" s="76">
        <v>14</v>
      </c>
      <c r="M405" s="12">
        <v>0</v>
      </c>
    </row>
    <row r="406" spans="1:13" hidden="1" x14ac:dyDescent="0.2">
      <c r="A406" s="54">
        <v>45915</v>
      </c>
      <c r="B406" s="91">
        <v>323</v>
      </c>
      <c r="C406" s="59" t="s">
        <v>223</v>
      </c>
      <c r="D406" s="59" t="s">
        <v>2</v>
      </c>
      <c r="E406" s="65">
        <v>30</v>
      </c>
      <c r="F406" s="33">
        <v>0</v>
      </c>
      <c r="G406" s="34">
        <v>14</v>
      </c>
      <c r="H406" s="68" t="s">
        <v>59</v>
      </c>
      <c r="I406" s="79">
        <v>420</v>
      </c>
      <c r="J406" s="11" t="s">
        <v>210</v>
      </c>
      <c r="K406" s="6">
        <v>12.6</v>
      </c>
      <c r="L406" s="76">
        <v>14</v>
      </c>
      <c r="M406" s="12">
        <v>0</v>
      </c>
    </row>
    <row r="407" spans="1:13" hidden="1" x14ac:dyDescent="0.2">
      <c r="A407" s="54">
        <v>45924</v>
      </c>
      <c r="B407" s="91">
        <v>342</v>
      </c>
      <c r="C407" s="59" t="s">
        <v>223</v>
      </c>
      <c r="D407" s="59" t="s">
        <v>2</v>
      </c>
      <c r="E407" s="65">
        <v>30</v>
      </c>
      <c r="F407" s="33">
        <v>0</v>
      </c>
      <c r="G407" s="34">
        <v>14</v>
      </c>
      <c r="H407" s="68" t="s">
        <v>59</v>
      </c>
      <c r="I407" s="79">
        <v>420</v>
      </c>
      <c r="J407" s="11" t="s">
        <v>210</v>
      </c>
      <c r="K407" s="6">
        <v>12.6</v>
      </c>
      <c r="L407" s="76">
        <v>14</v>
      </c>
      <c r="M407" s="12">
        <v>0</v>
      </c>
    </row>
    <row r="408" spans="1:13" hidden="1" x14ac:dyDescent="0.2">
      <c r="A408" s="54">
        <v>45917</v>
      </c>
      <c r="B408" s="91">
        <v>329</v>
      </c>
      <c r="C408" s="59" t="s">
        <v>223</v>
      </c>
      <c r="D408" s="59" t="s">
        <v>2</v>
      </c>
      <c r="E408" s="65">
        <v>60</v>
      </c>
      <c r="F408" s="33">
        <v>0</v>
      </c>
      <c r="G408" s="34">
        <v>14</v>
      </c>
      <c r="H408" s="68" t="s">
        <v>59</v>
      </c>
      <c r="I408" s="79">
        <v>840</v>
      </c>
      <c r="J408" s="11" t="s">
        <v>210</v>
      </c>
      <c r="K408" s="6">
        <v>12.6</v>
      </c>
      <c r="L408" s="76">
        <v>14</v>
      </c>
      <c r="M408" s="12">
        <v>0</v>
      </c>
    </row>
    <row r="409" spans="1:13" hidden="1" x14ac:dyDescent="0.2">
      <c r="A409" s="54">
        <v>45927</v>
      </c>
      <c r="B409" s="91">
        <v>351</v>
      </c>
      <c r="C409" s="59" t="s">
        <v>223</v>
      </c>
      <c r="D409" s="59" t="s">
        <v>2</v>
      </c>
      <c r="E409" s="65">
        <v>30</v>
      </c>
      <c r="F409" s="33">
        <v>0</v>
      </c>
      <c r="G409" s="34">
        <v>14</v>
      </c>
      <c r="H409" s="68" t="s">
        <v>59</v>
      </c>
      <c r="I409" s="79">
        <v>420</v>
      </c>
      <c r="J409" s="11" t="s">
        <v>210</v>
      </c>
      <c r="K409" s="6">
        <v>12.6</v>
      </c>
      <c r="L409" s="76">
        <v>14</v>
      </c>
      <c r="M409" s="12">
        <v>0</v>
      </c>
    </row>
    <row r="410" spans="1:13" hidden="1" x14ac:dyDescent="0.2">
      <c r="A410" s="54">
        <v>45926</v>
      </c>
      <c r="B410" s="91">
        <v>347</v>
      </c>
      <c r="C410" s="59" t="s">
        <v>223</v>
      </c>
      <c r="D410" s="59" t="s">
        <v>2</v>
      </c>
      <c r="E410" s="65">
        <v>20</v>
      </c>
      <c r="F410" s="33">
        <v>0</v>
      </c>
      <c r="G410" s="34">
        <v>14</v>
      </c>
      <c r="H410" s="68" t="s">
        <v>59</v>
      </c>
      <c r="I410" s="79">
        <v>280</v>
      </c>
      <c r="J410" s="11" t="s">
        <v>210</v>
      </c>
      <c r="K410" s="6">
        <v>12.6</v>
      </c>
      <c r="L410" s="76">
        <v>14</v>
      </c>
      <c r="M410" s="12">
        <v>0</v>
      </c>
    </row>
    <row r="411" spans="1:13" hidden="1" x14ac:dyDescent="0.2">
      <c r="A411" s="54">
        <v>45926</v>
      </c>
      <c r="B411" s="91">
        <v>347</v>
      </c>
      <c r="C411" s="59" t="s">
        <v>223</v>
      </c>
      <c r="D411" s="59" t="s">
        <v>2</v>
      </c>
      <c r="E411" s="65">
        <v>10</v>
      </c>
      <c r="F411" s="33">
        <v>0</v>
      </c>
      <c r="G411" s="34">
        <v>14</v>
      </c>
      <c r="H411" s="68" t="s">
        <v>59</v>
      </c>
      <c r="I411" s="79">
        <v>140</v>
      </c>
      <c r="J411" s="11" t="s">
        <v>210</v>
      </c>
      <c r="K411" s="6">
        <v>12.6</v>
      </c>
      <c r="L411" s="76">
        <v>14</v>
      </c>
      <c r="M411" s="12">
        <v>0</v>
      </c>
    </row>
    <row r="412" spans="1:13" hidden="1" x14ac:dyDescent="0.2">
      <c r="A412" s="54">
        <v>45912</v>
      </c>
      <c r="B412" s="91">
        <v>320</v>
      </c>
      <c r="C412" s="59" t="s">
        <v>223</v>
      </c>
      <c r="D412" s="59" t="s">
        <v>2</v>
      </c>
      <c r="E412" s="65">
        <v>30</v>
      </c>
      <c r="F412" s="33">
        <v>0</v>
      </c>
      <c r="G412" s="34">
        <v>14</v>
      </c>
      <c r="H412" s="68" t="s">
        <v>59</v>
      </c>
      <c r="I412" s="79">
        <v>420</v>
      </c>
      <c r="J412" s="11" t="s">
        <v>210</v>
      </c>
      <c r="K412" s="6">
        <v>12.6</v>
      </c>
      <c r="L412" s="76">
        <v>14</v>
      </c>
      <c r="M412" s="12">
        <v>0</v>
      </c>
    </row>
    <row r="413" spans="1:13" hidden="1" x14ac:dyDescent="0.2">
      <c r="A413" s="54">
        <v>45908</v>
      </c>
      <c r="B413" s="91">
        <v>306</v>
      </c>
      <c r="C413" s="59" t="s">
        <v>223</v>
      </c>
      <c r="D413" s="59" t="s">
        <v>2</v>
      </c>
      <c r="E413" s="65">
        <v>30</v>
      </c>
      <c r="F413" s="33">
        <v>0</v>
      </c>
      <c r="G413" s="34">
        <v>14</v>
      </c>
      <c r="H413" s="68" t="s">
        <v>59</v>
      </c>
      <c r="I413" s="79">
        <v>420</v>
      </c>
      <c r="J413" s="11" t="s">
        <v>210</v>
      </c>
      <c r="K413" s="6">
        <v>12.6</v>
      </c>
      <c r="L413" s="76">
        <v>14</v>
      </c>
      <c r="M413" s="12">
        <v>0</v>
      </c>
    </row>
    <row r="414" spans="1:13" hidden="1" x14ac:dyDescent="0.2">
      <c r="A414" s="54">
        <v>45906</v>
      </c>
      <c r="B414" s="91">
        <v>305</v>
      </c>
      <c r="C414" s="59" t="s">
        <v>223</v>
      </c>
      <c r="D414" s="59" t="s">
        <v>2</v>
      </c>
      <c r="E414" s="65">
        <v>30</v>
      </c>
      <c r="F414" s="33">
        <v>0</v>
      </c>
      <c r="G414" s="34">
        <v>14</v>
      </c>
      <c r="H414" s="68" t="s">
        <v>59</v>
      </c>
      <c r="I414" s="79">
        <v>420</v>
      </c>
      <c r="J414" s="11" t="s">
        <v>210</v>
      </c>
      <c r="K414" s="6">
        <v>12.6</v>
      </c>
      <c r="L414" s="76">
        <v>14</v>
      </c>
      <c r="M414" s="12">
        <v>0</v>
      </c>
    </row>
    <row r="415" spans="1:13" hidden="1" x14ac:dyDescent="0.2">
      <c r="A415" s="54">
        <v>45902</v>
      </c>
      <c r="B415" s="91">
        <v>300</v>
      </c>
      <c r="C415" s="59" t="s">
        <v>223</v>
      </c>
      <c r="D415" s="59" t="s">
        <v>2</v>
      </c>
      <c r="E415" s="65">
        <v>30</v>
      </c>
      <c r="F415" s="33">
        <v>0</v>
      </c>
      <c r="G415" s="34">
        <v>14</v>
      </c>
      <c r="H415" s="68" t="s">
        <v>59</v>
      </c>
      <c r="I415" s="79">
        <v>420</v>
      </c>
      <c r="J415" s="11" t="s">
        <v>210</v>
      </c>
      <c r="K415" s="6">
        <v>12.6</v>
      </c>
      <c r="L415" s="76">
        <v>14</v>
      </c>
      <c r="M415" s="12">
        <v>0</v>
      </c>
    </row>
    <row r="416" spans="1:13" ht="16" hidden="1" x14ac:dyDescent="0.2">
      <c r="A416" s="55">
        <v>45909</v>
      </c>
      <c r="B416" s="92">
        <v>309</v>
      </c>
      <c r="C416" s="59" t="s">
        <v>223</v>
      </c>
      <c r="D416" s="60" t="s">
        <v>3</v>
      </c>
      <c r="E416" s="66">
        <v>10</v>
      </c>
      <c r="F416" s="45">
        <v>1</v>
      </c>
      <c r="G416" s="46">
        <v>155.71</v>
      </c>
      <c r="H416" s="68" t="s">
        <v>59</v>
      </c>
      <c r="I416" s="81">
        <v>1557.1</v>
      </c>
      <c r="J416" s="11" t="s">
        <v>210</v>
      </c>
      <c r="K416" s="19">
        <v>140.13999999999999</v>
      </c>
      <c r="L416" s="76">
        <v>155.71</v>
      </c>
      <c r="M416" s="13">
        <f t="shared" ref="M416" si="78">I416*30%</f>
        <v>467.12999999999994</v>
      </c>
    </row>
  </sheetData>
  <autoFilter ref="A1:S416">
    <filterColumn colId="1">
      <filters>
        <filter val="176"/>
        <filter val="183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4" tint="-0.499984740745262"/>
  </sheetPr>
  <dimension ref="A1:M43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26" customWidth="1"/>
    <col min="2" max="2" width="20.1640625" customWidth="1"/>
    <col min="3" max="3" width="10.33203125" customWidth="1"/>
    <col min="4" max="4" width="17" customWidth="1"/>
    <col min="5" max="5" width="10.83203125" customWidth="1"/>
    <col min="6" max="6" width="13" customWidth="1"/>
    <col min="7" max="7" width="16.1640625" customWidth="1"/>
    <col min="8" max="8" width="23.83203125" bestFit="1" customWidth="1"/>
    <col min="9" max="9" width="17.5" bestFit="1" customWidth="1"/>
    <col min="10" max="10" width="8" bestFit="1" customWidth="1"/>
    <col min="11" max="11" width="16.5" bestFit="1" customWidth="1"/>
    <col min="12" max="12" width="22.6640625" bestFit="1" customWidth="1"/>
    <col min="13" max="13" width="19.1640625" bestFit="1" customWidth="1"/>
  </cols>
  <sheetData>
    <row r="1" spans="1:7" x14ac:dyDescent="0.2">
      <c r="A1" s="7" t="s">
        <v>71</v>
      </c>
      <c r="B1" t="s">
        <v>243</v>
      </c>
    </row>
    <row r="2" spans="1:7" x14ac:dyDescent="0.2">
      <c r="A2" s="7" t="s">
        <v>16</v>
      </c>
      <c r="B2" t="s">
        <v>210</v>
      </c>
    </row>
    <row r="4" spans="1:7" x14ac:dyDescent="0.2">
      <c r="E4" s="7" t="s">
        <v>76</v>
      </c>
    </row>
    <row r="5" spans="1:7" x14ac:dyDescent="0.2">
      <c r="A5" s="7" t="s">
        <v>15</v>
      </c>
      <c r="B5" s="7" t="s">
        <v>14</v>
      </c>
      <c r="C5" s="7" t="s">
        <v>26</v>
      </c>
      <c r="D5" s="7" t="s">
        <v>0</v>
      </c>
      <c r="E5" t="s">
        <v>73</v>
      </c>
      <c r="F5" t="s">
        <v>75</v>
      </c>
      <c r="G5" t="s">
        <v>74</v>
      </c>
    </row>
    <row r="6" spans="1:7" x14ac:dyDescent="0.2">
      <c r="A6" t="s">
        <v>206</v>
      </c>
      <c r="B6" s="1">
        <v>45913</v>
      </c>
      <c r="C6">
        <v>8574</v>
      </c>
      <c r="D6" t="s">
        <v>94</v>
      </c>
      <c r="E6" s="8">
        <v>5</v>
      </c>
      <c r="F6" s="13">
        <v>731.55</v>
      </c>
      <c r="G6" s="13">
        <v>219.465</v>
      </c>
    </row>
    <row r="7" spans="1:7" x14ac:dyDescent="0.2">
      <c r="D7" t="s">
        <v>115</v>
      </c>
      <c r="E7" s="8">
        <v>5</v>
      </c>
      <c r="F7" s="13">
        <v>785.7</v>
      </c>
      <c r="G7" s="13">
        <v>235.71</v>
      </c>
    </row>
    <row r="8" spans="1:7" x14ac:dyDescent="0.2">
      <c r="B8" s="1">
        <v>45904</v>
      </c>
      <c r="C8">
        <v>7988</v>
      </c>
      <c r="D8" t="s">
        <v>7</v>
      </c>
      <c r="E8" s="8">
        <v>5</v>
      </c>
      <c r="F8" s="13">
        <v>857.15</v>
      </c>
      <c r="G8" s="13">
        <v>257.14499999999998</v>
      </c>
    </row>
    <row r="9" spans="1:7" x14ac:dyDescent="0.2">
      <c r="D9" t="s">
        <v>3</v>
      </c>
      <c r="E9" s="8">
        <v>5</v>
      </c>
      <c r="F9" s="13">
        <v>778.7</v>
      </c>
      <c r="G9" s="13">
        <v>233.61</v>
      </c>
    </row>
    <row r="10" spans="1:7" x14ac:dyDescent="0.2">
      <c r="A10" t="s">
        <v>252</v>
      </c>
      <c r="E10" s="8">
        <v>20</v>
      </c>
      <c r="F10" s="13">
        <v>3153.1000000000004</v>
      </c>
      <c r="G10" s="13">
        <v>945.93</v>
      </c>
    </row>
    <row r="11" spans="1:7" x14ac:dyDescent="0.2">
      <c r="A11" t="s">
        <v>72</v>
      </c>
      <c r="E11" s="8">
        <v>20</v>
      </c>
      <c r="F11" s="13">
        <v>3153.1000000000004</v>
      </c>
      <c r="G11" s="13">
        <v>945.93</v>
      </c>
    </row>
    <row r="37" spans="9:13" x14ac:dyDescent="0.2">
      <c r="I37">
        <v>91</v>
      </c>
      <c r="J37">
        <v>80</v>
      </c>
      <c r="K37">
        <v>8</v>
      </c>
      <c r="L37">
        <v>219.17</v>
      </c>
      <c r="M37">
        <f>L37*I37</f>
        <v>19944.469999999998</v>
      </c>
    </row>
    <row r="38" spans="9:13" x14ac:dyDescent="0.2">
      <c r="J38">
        <v>3</v>
      </c>
    </row>
    <row r="39" spans="9:13" x14ac:dyDescent="0.2">
      <c r="I39">
        <v>32</v>
      </c>
      <c r="J39">
        <v>20</v>
      </c>
      <c r="K39">
        <v>2</v>
      </c>
      <c r="L39">
        <v>305.08</v>
      </c>
      <c r="M39">
        <f>L39*I39</f>
        <v>9762.56</v>
      </c>
    </row>
    <row r="40" spans="9:13" x14ac:dyDescent="0.2">
      <c r="J40">
        <v>10</v>
      </c>
    </row>
    <row r="41" spans="9:13" x14ac:dyDescent="0.2">
      <c r="M41">
        <f>SUM(M37:M40)</f>
        <v>29707.03</v>
      </c>
    </row>
    <row r="42" spans="9:13" x14ac:dyDescent="0.2">
      <c r="K42">
        <v>30</v>
      </c>
      <c r="L42">
        <v>335.59</v>
      </c>
    </row>
    <row r="43" spans="9:13" x14ac:dyDescent="0.2">
      <c r="K43">
        <f>K42*L42</f>
        <v>10067.699999999999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63"/>
  <sheetViews>
    <sheetView workbookViewId="0">
      <selection activeCell="I59" sqref="I59"/>
    </sheetView>
  </sheetViews>
  <sheetFormatPr baseColWidth="10" defaultColWidth="8.83203125" defaultRowHeight="15" x14ac:dyDescent="0.2"/>
  <cols>
    <col min="1" max="1" width="21.6640625" customWidth="1"/>
    <col min="2" max="2" width="11" customWidth="1"/>
    <col min="4" max="4" width="30.5" customWidth="1"/>
    <col min="5" max="5" width="12.33203125" customWidth="1"/>
    <col min="6" max="6" width="10.83203125" customWidth="1"/>
    <col min="7" max="7" width="19.1640625" customWidth="1"/>
    <col min="9" max="9" width="24.1640625" customWidth="1"/>
    <col min="10" max="10" width="10.33203125" customWidth="1"/>
    <col min="13" max="13" width="10.6640625" customWidth="1"/>
  </cols>
  <sheetData>
    <row r="2" spans="1:16" ht="16" x14ac:dyDescent="0.2">
      <c r="D2" s="36" t="s">
        <v>123</v>
      </c>
      <c r="I2" s="39" t="s">
        <v>145</v>
      </c>
    </row>
    <row r="3" spans="1:16" x14ac:dyDescent="0.2">
      <c r="A3" s="39" t="s">
        <v>119</v>
      </c>
      <c r="D3" s="4" t="s">
        <v>71</v>
      </c>
      <c r="E3" s="4" t="s">
        <v>124</v>
      </c>
      <c r="F3" s="4" t="s">
        <v>125</v>
      </c>
      <c r="I3" s="6" t="s">
        <v>126</v>
      </c>
      <c r="J3" s="6">
        <v>1242</v>
      </c>
      <c r="K3" s="6">
        <v>373</v>
      </c>
    </row>
    <row r="4" spans="1:16" x14ac:dyDescent="0.2">
      <c r="A4" s="6" t="s">
        <v>120</v>
      </c>
      <c r="B4" s="12">
        <v>4000</v>
      </c>
      <c r="D4" s="6" t="s">
        <v>59</v>
      </c>
      <c r="E4" s="6">
        <v>14817</v>
      </c>
      <c r="F4" s="6">
        <v>4445</v>
      </c>
      <c r="G4">
        <f>E4*30%</f>
        <v>4445.0999999999995</v>
      </c>
      <c r="I4" s="6" t="s">
        <v>130</v>
      </c>
      <c r="J4" s="6">
        <v>714</v>
      </c>
      <c r="K4" s="6">
        <v>214</v>
      </c>
    </row>
    <row r="5" spans="1:16" x14ac:dyDescent="0.2">
      <c r="A5" s="6" t="s">
        <v>121</v>
      </c>
      <c r="B5" s="12">
        <v>542</v>
      </c>
      <c r="D5" s="6" t="s">
        <v>91</v>
      </c>
      <c r="E5" s="6">
        <v>6230</v>
      </c>
      <c r="F5" s="6">
        <v>1869</v>
      </c>
      <c r="G5">
        <f t="shared" ref="G5:G12" si="0">E5*30%</f>
        <v>1869</v>
      </c>
      <c r="I5" s="6" t="s">
        <v>131</v>
      </c>
      <c r="J5" s="6">
        <v>3177</v>
      </c>
      <c r="K5" s="6">
        <v>953</v>
      </c>
    </row>
    <row r="6" spans="1:16" x14ac:dyDescent="0.2">
      <c r="A6" s="6" t="s">
        <v>144</v>
      </c>
      <c r="B6" s="12">
        <v>396</v>
      </c>
      <c r="D6" s="6" t="s">
        <v>127</v>
      </c>
      <c r="E6" s="6">
        <v>857</v>
      </c>
      <c r="F6" s="6">
        <v>257</v>
      </c>
      <c r="G6">
        <f t="shared" si="0"/>
        <v>257.09999999999997</v>
      </c>
      <c r="I6" s="6" t="s">
        <v>135</v>
      </c>
      <c r="J6" s="6">
        <v>1557</v>
      </c>
      <c r="K6" s="6">
        <v>467</v>
      </c>
    </row>
    <row r="7" spans="1:16" x14ac:dyDescent="0.2">
      <c r="A7" s="2" t="s">
        <v>122</v>
      </c>
      <c r="B7" s="41">
        <f>B4-B5-B6</f>
        <v>3062</v>
      </c>
      <c r="D7" s="6" t="s">
        <v>128</v>
      </c>
      <c r="E7" s="6">
        <v>1500</v>
      </c>
      <c r="F7" s="6">
        <v>450</v>
      </c>
      <c r="G7">
        <f t="shared" si="0"/>
        <v>450</v>
      </c>
      <c r="I7" s="6" t="s">
        <v>137</v>
      </c>
      <c r="J7" s="6">
        <v>471</v>
      </c>
      <c r="K7" s="6">
        <v>141</v>
      </c>
    </row>
    <row r="8" spans="1:16" x14ac:dyDescent="0.2">
      <c r="D8" s="6" t="s">
        <v>132</v>
      </c>
      <c r="E8" s="6">
        <v>4796</v>
      </c>
      <c r="F8" s="6">
        <v>1439</v>
      </c>
      <c r="G8">
        <f t="shared" si="0"/>
        <v>1438.8</v>
      </c>
      <c r="I8" s="6" t="s">
        <v>141</v>
      </c>
      <c r="J8" s="6">
        <v>2485</v>
      </c>
      <c r="K8" s="6">
        <v>745</v>
      </c>
      <c r="M8" s="39"/>
    </row>
    <row r="9" spans="1:16" x14ac:dyDescent="0.2">
      <c r="D9" s="6" t="s">
        <v>134</v>
      </c>
      <c r="E9" s="6">
        <v>3429</v>
      </c>
      <c r="F9" s="6">
        <v>1029</v>
      </c>
      <c r="G9">
        <f t="shared" si="0"/>
        <v>1028.7</v>
      </c>
      <c r="I9" s="6" t="s">
        <v>142</v>
      </c>
      <c r="J9" s="6">
        <v>1463</v>
      </c>
      <c r="K9" s="6">
        <v>439</v>
      </c>
      <c r="P9" s="13"/>
    </row>
    <row r="10" spans="1:16" x14ac:dyDescent="0.2">
      <c r="D10" s="6" t="s">
        <v>136</v>
      </c>
      <c r="E10" s="6">
        <v>3177</v>
      </c>
      <c r="F10" s="6">
        <v>953</v>
      </c>
      <c r="G10">
        <f t="shared" si="0"/>
        <v>953.09999999999991</v>
      </c>
      <c r="K10">
        <f>SUM(K3:K9)</f>
        <v>3332</v>
      </c>
      <c r="P10" s="13"/>
    </row>
    <row r="11" spans="1:16" x14ac:dyDescent="0.2">
      <c r="D11" s="6" t="s">
        <v>138</v>
      </c>
      <c r="E11" s="6">
        <v>2736</v>
      </c>
      <c r="F11" s="6">
        <v>821</v>
      </c>
      <c r="G11">
        <f t="shared" si="0"/>
        <v>820.8</v>
      </c>
      <c r="P11" s="13"/>
    </row>
    <row r="12" spans="1:16" x14ac:dyDescent="0.2">
      <c r="D12" s="6" t="s">
        <v>140</v>
      </c>
      <c r="E12" s="6">
        <v>1368</v>
      </c>
      <c r="F12" s="6">
        <v>410</v>
      </c>
      <c r="G12">
        <f t="shared" si="0"/>
        <v>410.4</v>
      </c>
      <c r="P12" s="13"/>
    </row>
    <row r="13" spans="1:16" ht="16" x14ac:dyDescent="0.2">
      <c r="A13" s="39" t="s">
        <v>143</v>
      </c>
      <c r="D13" s="35" t="s">
        <v>133</v>
      </c>
      <c r="E13" s="38">
        <f ca="1">SUM(E4:E19)</f>
        <v>38910</v>
      </c>
      <c r="F13" s="37">
        <f>SUM(F4:F12)</f>
        <v>11673</v>
      </c>
      <c r="P13" s="13"/>
    </row>
    <row r="14" spans="1:16" x14ac:dyDescent="0.2">
      <c r="A14" s="6" t="s">
        <v>120</v>
      </c>
      <c r="B14" s="6">
        <v>20000</v>
      </c>
      <c r="P14" s="13"/>
    </row>
    <row r="15" spans="1:16" ht="16" x14ac:dyDescent="0.2">
      <c r="A15" s="6" t="s">
        <v>144</v>
      </c>
      <c r="B15" s="6">
        <v>11024</v>
      </c>
      <c r="D15" s="36" t="s">
        <v>178</v>
      </c>
      <c r="P15" s="13"/>
    </row>
    <row r="16" spans="1:16" x14ac:dyDescent="0.2">
      <c r="A16" s="6" t="s">
        <v>249</v>
      </c>
      <c r="B16" s="6">
        <v>9343</v>
      </c>
      <c r="D16" s="4" t="s">
        <v>71</v>
      </c>
      <c r="E16" s="4" t="s">
        <v>124</v>
      </c>
      <c r="F16" s="4" t="s">
        <v>125</v>
      </c>
      <c r="G16" s="4" t="s">
        <v>182</v>
      </c>
      <c r="I16" s="47"/>
      <c r="P16" s="13"/>
    </row>
    <row r="17" spans="1:16" x14ac:dyDescent="0.2">
      <c r="A17" s="2" t="s">
        <v>250</v>
      </c>
      <c r="B17" s="31">
        <f>B14-B15-B16</f>
        <v>-367</v>
      </c>
      <c r="D17" s="6" t="s">
        <v>59</v>
      </c>
      <c r="E17" s="12">
        <v>11883</v>
      </c>
      <c r="F17" s="6">
        <v>3565</v>
      </c>
      <c r="G17" s="6"/>
      <c r="H17">
        <f t="shared" ref="H17:H29" si="1">E17*30%</f>
        <v>3564.9</v>
      </c>
      <c r="P17" s="13"/>
    </row>
    <row r="18" spans="1:16" x14ac:dyDescent="0.2">
      <c r="D18" s="6" t="s">
        <v>177</v>
      </c>
      <c r="E18" s="12">
        <v>1564</v>
      </c>
      <c r="F18" s="6">
        <v>470</v>
      </c>
      <c r="G18" s="6"/>
      <c r="H18">
        <f t="shared" si="1"/>
        <v>469.2</v>
      </c>
      <c r="P18" s="13"/>
    </row>
    <row r="19" spans="1:16" x14ac:dyDescent="0.2">
      <c r="D19" s="6" t="s">
        <v>142</v>
      </c>
      <c r="E19" s="12">
        <v>12350</v>
      </c>
      <c r="F19" s="6">
        <v>0</v>
      </c>
      <c r="G19" s="6"/>
      <c r="H19">
        <f t="shared" si="1"/>
        <v>3705</v>
      </c>
      <c r="P19" s="13"/>
    </row>
    <row r="20" spans="1:16" x14ac:dyDescent="0.2">
      <c r="B20" s="13"/>
      <c r="D20" s="6" t="s">
        <v>130</v>
      </c>
      <c r="E20" s="12">
        <v>456</v>
      </c>
      <c r="F20" s="6">
        <v>0</v>
      </c>
      <c r="G20" s="6"/>
      <c r="H20">
        <f t="shared" si="1"/>
        <v>136.79999999999998</v>
      </c>
      <c r="P20" s="13"/>
    </row>
    <row r="21" spans="1:16" x14ac:dyDescent="0.2">
      <c r="B21" s="13"/>
      <c r="D21" s="6" t="s">
        <v>179</v>
      </c>
      <c r="E21" s="12">
        <v>3774</v>
      </c>
      <c r="F21" s="6">
        <v>0</v>
      </c>
      <c r="G21" s="6"/>
      <c r="H21">
        <f t="shared" si="1"/>
        <v>1132.2</v>
      </c>
      <c r="P21" s="13"/>
    </row>
    <row r="22" spans="1:16" x14ac:dyDescent="0.2">
      <c r="A22" s="48"/>
      <c r="B22" s="49"/>
      <c r="D22" s="6" t="s">
        <v>131</v>
      </c>
      <c r="E22" s="12">
        <v>1589</v>
      </c>
      <c r="F22" s="6">
        <v>477</v>
      </c>
      <c r="G22" s="6"/>
      <c r="H22">
        <f t="shared" si="1"/>
        <v>476.7</v>
      </c>
      <c r="P22" s="13"/>
    </row>
    <row r="23" spans="1:16" x14ac:dyDescent="0.2">
      <c r="D23" s="6" t="s">
        <v>137</v>
      </c>
      <c r="E23" s="13">
        <v>1714</v>
      </c>
      <c r="F23" s="6">
        <v>0</v>
      </c>
      <c r="G23" s="6"/>
      <c r="H23" s="42">
        <f t="shared" si="1"/>
        <v>514.19999999999993</v>
      </c>
      <c r="P23" s="13"/>
    </row>
    <row r="24" spans="1:16" x14ac:dyDescent="0.2">
      <c r="D24" s="6" t="s">
        <v>135</v>
      </c>
      <c r="E24" s="12">
        <v>4535</v>
      </c>
      <c r="F24" s="6">
        <v>0</v>
      </c>
      <c r="G24" s="6"/>
      <c r="H24">
        <f t="shared" si="1"/>
        <v>1360.5</v>
      </c>
      <c r="P24" s="13"/>
    </row>
    <row r="25" spans="1:16" x14ac:dyDescent="0.2">
      <c r="D25" s="6" t="s">
        <v>180</v>
      </c>
      <c r="E25" s="12">
        <v>27559</v>
      </c>
      <c r="F25" s="6">
        <v>0</v>
      </c>
      <c r="G25" s="6" t="s">
        <v>183</v>
      </c>
      <c r="H25">
        <f t="shared" si="1"/>
        <v>8267.6999999999989</v>
      </c>
      <c r="P25" s="13"/>
    </row>
    <row r="26" spans="1:16" x14ac:dyDescent="0.2">
      <c r="D26" s="6" t="s">
        <v>181</v>
      </c>
      <c r="E26" s="12">
        <v>1321</v>
      </c>
      <c r="F26" s="6">
        <v>0</v>
      </c>
      <c r="G26" s="6" t="s">
        <v>183</v>
      </c>
      <c r="H26">
        <f t="shared" si="1"/>
        <v>396.3</v>
      </c>
      <c r="P26" s="13"/>
    </row>
    <row r="27" spans="1:16" x14ac:dyDescent="0.2">
      <c r="D27" s="6" t="s">
        <v>184</v>
      </c>
      <c r="E27" s="12">
        <v>5850.4</v>
      </c>
      <c r="F27" s="6">
        <v>0</v>
      </c>
      <c r="G27" s="6"/>
      <c r="H27">
        <f t="shared" si="1"/>
        <v>1755.12</v>
      </c>
      <c r="P27" s="13"/>
    </row>
    <row r="28" spans="1:16" x14ac:dyDescent="0.2">
      <c r="D28" s="6" t="s">
        <v>185</v>
      </c>
      <c r="E28" s="12">
        <v>2950</v>
      </c>
      <c r="F28" s="6">
        <v>0</v>
      </c>
      <c r="G28" s="6"/>
      <c r="H28">
        <f t="shared" si="1"/>
        <v>885</v>
      </c>
      <c r="P28" s="13"/>
    </row>
    <row r="29" spans="1:16" x14ac:dyDescent="0.2">
      <c r="D29" s="6" t="s">
        <v>186</v>
      </c>
      <c r="E29" s="12">
        <v>3318</v>
      </c>
      <c r="F29" s="6">
        <v>0</v>
      </c>
      <c r="G29" s="6"/>
      <c r="H29">
        <f t="shared" si="1"/>
        <v>995.4</v>
      </c>
      <c r="P29" s="13"/>
    </row>
    <row r="30" spans="1:16" ht="16" x14ac:dyDescent="0.2">
      <c r="D30" s="35" t="s">
        <v>133</v>
      </c>
      <c r="E30" s="43">
        <f>SUM(E17:E29)</f>
        <v>78863.399999999994</v>
      </c>
      <c r="F30" s="37">
        <f>SUM(F17:F29)</f>
        <v>4512</v>
      </c>
      <c r="G30" s="6"/>
      <c r="P30" s="13"/>
    </row>
    <row r="31" spans="1:16" x14ac:dyDescent="0.2">
      <c r="P31" s="13"/>
    </row>
    <row r="32" spans="1:16" x14ac:dyDescent="0.2">
      <c r="P32" s="13"/>
    </row>
    <row r="33" spans="4:16" ht="16" x14ac:dyDescent="0.2">
      <c r="D33" s="36" t="s">
        <v>248</v>
      </c>
      <c r="P33" s="13"/>
    </row>
    <row r="34" spans="4:16" x14ac:dyDescent="0.2">
      <c r="D34" s="4" t="s">
        <v>71</v>
      </c>
      <c r="E34" s="4" t="s">
        <v>124</v>
      </c>
      <c r="F34" s="4" t="s">
        <v>125</v>
      </c>
      <c r="G34" s="4" t="s">
        <v>182</v>
      </c>
      <c r="P34" s="13"/>
    </row>
    <row r="35" spans="4:16" x14ac:dyDescent="0.2">
      <c r="D35" s="6" t="s">
        <v>59</v>
      </c>
      <c r="E35" s="12">
        <v>15983</v>
      </c>
      <c r="F35" s="6">
        <v>3770</v>
      </c>
      <c r="G35" s="6"/>
      <c r="P35" s="13"/>
    </row>
    <row r="36" spans="4:16" x14ac:dyDescent="0.2">
      <c r="D36" s="6" t="s">
        <v>177</v>
      </c>
      <c r="E36" s="12">
        <v>1971</v>
      </c>
      <c r="F36" s="6">
        <v>592</v>
      </c>
      <c r="G36" s="6"/>
      <c r="H36">
        <f>E36*30%</f>
        <v>591.29999999999995</v>
      </c>
      <c r="P36" s="13"/>
    </row>
    <row r="37" spans="4:16" x14ac:dyDescent="0.2">
      <c r="D37" s="6" t="s">
        <v>126</v>
      </c>
      <c r="E37" s="12">
        <v>3427</v>
      </c>
      <c r="F37" s="6">
        <v>1028</v>
      </c>
      <c r="G37" s="6"/>
      <c r="H37">
        <f t="shared" ref="H37:H54" si="2">E37*30%</f>
        <v>1028.0999999999999</v>
      </c>
      <c r="P37" s="13"/>
    </row>
    <row r="38" spans="4:16" x14ac:dyDescent="0.2">
      <c r="D38" s="6" t="s">
        <v>130</v>
      </c>
      <c r="E38" s="12">
        <v>314</v>
      </c>
      <c r="F38" s="6">
        <v>95</v>
      </c>
      <c r="G38" s="6"/>
      <c r="H38">
        <f t="shared" si="2"/>
        <v>94.2</v>
      </c>
    </row>
    <row r="39" spans="4:16" x14ac:dyDescent="0.2">
      <c r="D39" s="6" t="s">
        <v>232</v>
      </c>
      <c r="E39" s="12">
        <v>714</v>
      </c>
      <c r="F39" s="6">
        <v>214</v>
      </c>
      <c r="G39" s="6"/>
      <c r="H39">
        <f t="shared" si="2"/>
        <v>214.2</v>
      </c>
    </row>
    <row r="40" spans="4:16" x14ac:dyDescent="0.2">
      <c r="D40" s="6" t="s">
        <v>233</v>
      </c>
      <c r="E40" s="12">
        <v>3091</v>
      </c>
      <c r="F40" s="6">
        <v>927</v>
      </c>
      <c r="G40" s="6"/>
      <c r="H40">
        <f t="shared" si="2"/>
        <v>927.3</v>
      </c>
    </row>
    <row r="41" spans="4:16" x14ac:dyDescent="0.2">
      <c r="D41" s="6" t="s">
        <v>127</v>
      </c>
      <c r="E41" s="12">
        <v>12318</v>
      </c>
      <c r="F41" s="6">
        <v>4927</v>
      </c>
      <c r="G41" s="6"/>
      <c r="H41">
        <f>E41*40%</f>
        <v>4927.2000000000007</v>
      </c>
    </row>
    <row r="42" spans="4:16" x14ac:dyDescent="0.2">
      <c r="D42" s="6" t="s">
        <v>231</v>
      </c>
      <c r="E42" s="12">
        <v>1110</v>
      </c>
      <c r="F42" s="6">
        <v>333</v>
      </c>
      <c r="G42" s="6"/>
      <c r="H42">
        <f t="shared" si="2"/>
        <v>333</v>
      </c>
    </row>
    <row r="43" spans="4:16" x14ac:dyDescent="0.2">
      <c r="D43" s="6" t="s">
        <v>128</v>
      </c>
      <c r="E43" s="12">
        <v>2538</v>
      </c>
      <c r="F43" s="6">
        <v>761</v>
      </c>
      <c r="G43" s="6"/>
      <c r="H43">
        <f t="shared" si="2"/>
        <v>761.4</v>
      </c>
    </row>
    <row r="44" spans="4:16" x14ac:dyDescent="0.2">
      <c r="D44" s="6" t="s">
        <v>234</v>
      </c>
      <c r="E44" s="12">
        <v>1168</v>
      </c>
      <c r="F44" s="6">
        <v>350</v>
      </c>
      <c r="G44" s="6"/>
      <c r="H44">
        <f t="shared" si="2"/>
        <v>350.4</v>
      </c>
    </row>
    <row r="45" spans="4:16" x14ac:dyDescent="0.2">
      <c r="D45" s="6" t="s">
        <v>131</v>
      </c>
      <c r="E45" s="12">
        <v>1463</v>
      </c>
      <c r="F45" s="6">
        <v>439</v>
      </c>
      <c r="G45" s="6"/>
      <c r="H45">
        <f t="shared" si="2"/>
        <v>438.9</v>
      </c>
    </row>
    <row r="46" spans="4:16" x14ac:dyDescent="0.2">
      <c r="D46" s="6" t="s">
        <v>134</v>
      </c>
      <c r="E46" s="13">
        <v>6236</v>
      </c>
      <c r="F46" s="6">
        <v>1870</v>
      </c>
      <c r="G46" s="6"/>
      <c r="H46">
        <f t="shared" si="2"/>
        <v>1870.8</v>
      </c>
    </row>
    <row r="47" spans="4:16" x14ac:dyDescent="0.2">
      <c r="D47" s="6" t="s">
        <v>235</v>
      </c>
      <c r="E47" s="13">
        <v>816</v>
      </c>
      <c r="F47" s="6">
        <v>245</v>
      </c>
      <c r="G47" s="6"/>
      <c r="H47">
        <f t="shared" si="2"/>
        <v>244.79999999999998</v>
      </c>
    </row>
    <row r="48" spans="4:16" x14ac:dyDescent="0.2">
      <c r="D48" s="6" t="s">
        <v>236</v>
      </c>
      <c r="E48" s="13">
        <v>2150</v>
      </c>
      <c r="F48" s="6">
        <v>0</v>
      </c>
      <c r="G48" s="6" t="s">
        <v>251</v>
      </c>
      <c r="H48">
        <f t="shared" si="2"/>
        <v>645</v>
      </c>
    </row>
    <row r="49" spans="4:8" x14ac:dyDescent="0.2">
      <c r="D49" s="6" t="s">
        <v>237</v>
      </c>
      <c r="E49" s="13">
        <v>786</v>
      </c>
      <c r="F49" s="6">
        <v>236</v>
      </c>
      <c r="G49" s="6"/>
      <c r="H49">
        <f t="shared" si="2"/>
        <v>235.79999999999998</v>
      </c>
    </row>
    <row r="50" spans="4:8" x14ac:dyDescent="0.2">
      <c r="D50" s="6" t="s">
        <v>238</v>
      </c>
      <c r="E50" s="13">
        <v>1714</v>
      </c>
      <c r="F50" s="6">
        <v>514</v>
      </c>
      <c r="G50" s="6"/>
      <c r="H50">
        <f t="shared" si="2"/>
        <v>514.19999999999993</v>
      </c>
    </row>
    <row r="51" spans="4:8" x14ac:dyDescent="0.2">
      <c r="D51" s="6" t="s">
        <v>239</v>
      </c>
      <c r="E51" s="13">
        <v>1557</v>
      </c>
      <c r="F51" s="6">
        <v>467</v>
      </c>
      <c r="G51" s="6"/>
      <c r="H51">
        <f t="shared" si="2"/>
        <v>467.09999999999997</v>
      </c>
    </row>
    <row r="52" spans="4:8" x14ac:dyDescent="0.2">
      <c r="D52" s="6" t="s">
        <v>240</v>
      </c>
      <c r="E52" s="13">
        <v>904</v>
      </c>
      <c r="F52" s="6">
        <v>271</v>
      </c>
      <c r="G52" s="6"/>
      <c r="H52">
        <f t="shared" si="2"/>
        <v>271.2</v>
      </c>
    </row>
    <row r="53" spans="4:8" x14ac:dyDescent="0.2">
      <c r="D53" s="6" t="s">
        <v>241</v>
      </c>
      <c r="E53" s="13">
        <v>5142</v>
      </c>
      <c r="F53" s="6">
        <v>1543</v>
      </c>
      <c r="G53" s="6"/>
      <c r="H53">
        <f t="shared" si="2"/>
        <v>1542.6</v>
      </c>
    </row>
    <row r="54" spans="4:8" x14ac:dyDescent="0.2">
      <c r="D54" s="6" t="s">
        <v>242</v>
      </c>
      <c r="E54" s="13">
        <v>5639</v>
      </c>
      <c r="F54" s="6">
        <v>1692</v>
      </c>
      <c r="G54" s="6"/>
      <c r="H54">
        <f t="shared" si="2"/>
        <v>1691.7</v>
      </c>
    </row>
    <row r="55" spans="4:8" x14ac:dyDescent="0.2">
      <c r="D55" s="6" t="s">
        <v>243</v>
      </c>
      <c r="E55" s="13">
        <v>3153</v>
      </c>
      <c r="F55" s="6">
        <v>946</v>
      </c>
      <c r="G55" s="6"/>
      <c r="H55">
        <f>E55*30%</f>
        <v>945.9</v>
      </c>
    </row>
    <row r="56" spans="4:8" x14ac:dyDescent="0.2">
      <c r="D56" s="6" t="s">
        <v>137</v>
      </c>
      <c r="E56" s="13"/>
      <c r="F56" s="6"/>
      <c r="G56" s="6"/>
    </row>
    <row r="57" spans="4:8" x14ac:dyDescent="0.2">
      <c r="D57" s="6" t="s">
        <v>135</v>
      </c>
      <c r="E57" s="12">
        <v>779</v>
      </c>
      <c r="F57" s="6">
        <v>234</v>
      </c>
      <c r="G57" s="6"/>
      <c r="H57">
        <f>E57*30%</f>
        <v>233.7</v>
      </c>
    </row>
    <row r="58" spans="4:8" x14ac:dyDescent="0.2">
      <c r="D58" s="6" t="s">
        <v>180</v>
      </c>
      <c r="E58" s="12">
        <v>25235</v>
      </c>
      <c r="F58" s="6">
        <v>0</v>
      </c>
      <c r="G58" s="6" t="s">
        <v>183</v>
      </c>
    </row>
    <row r="59" spans="4:8" x14ac:dyDescent="0.2">
      <c r="D59" s="6" t="s">
        <v>181</v>
      </c>
      <c r="E59" s="12"/>
      <c r="F59" s="6"/>
      <c r="G59" s="6" t="s">
        <v>183</v>
      </c>
    </row>
    <row r="60" spans="4:8" x14ac:dyDescent="0.2">
      <c r="D60" s="6" t="s">
        <v>184</v>
      </c>
      <c r="E60" s="12"/>
      <c r="F60" s="6"/>
      <c r="G60" s="6"/>
    </row>
    <row r="61" spans="4:8" x14ac:dyDescent="0.2">
      <c r="D61" s="6" t="s">
        <v>185</v>
      </c>
      <c r="E61" s="12"/>
      <c r="F61" s="6"/>
      <c r="G61" s="6"/>
    </row>
    <row r="62" spans="4:8" x14ac:dyDescent="0.2">
      <c r="D62" s="6" t="s">
        <v>186</v>
      </c>
      <c r="E62" s="12"/>
      <c r="F62" s="6"/>
      <c r="G62" s="6"/>
    </row>
    <row r="63" spans="4:8" ht="16" x14ac:dyDescent="0.2">
      <c r="D63" s="35" t="s">
        <v>133</v>
      </c>
      <c r="E63" s="43">
        <f>SUM(E35:E62)</f>
        <v>98208</v>
      </c>
      <c r="F63" s="37">
        <f>SUM(F35:F62)</f>
        <v>21454</v>
      </c>
      <c r="G6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Pharmario Main </vt:lpstr>
      <vt:lpstr>Pivot</vt:lpstr>
      <vt:lpstr>CRM calc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Nurene Lifesciences</dc:creator>
  <cp:lastModifiedBy>Microsoft Office User</cp:lastModifiedBy>
  <dcterms:created xsi:type="dcterms:W3CDTF">2025-07-14T09:21:52Z</dcterms:created>
  <dcterms:modified xsi:type="dcterms:W3CDTF">2025-10-22T05:27:17Z</dcterms:modified>
</cp:coreProperties>
</file>